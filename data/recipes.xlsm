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62AF50C7-D4BB-8849-B6E7-52CAD52C0B27}" xr6:coauthVersionLast="43" xr6:coauthVersionMax="43" xr10:uidLastSave="{00000000-0000-0000-0000-000000000000}"/>
  <bookViews>
    <workbookView xWindow="-38400" yWindow="-6000" windowWidth="38400" windowHeight="24000" xr2:uid="{AACC6657-DF75-B24E-979F-10DF6B9789F6}"/>
  </bookViews>
  <sheets>
    <sheet name="Recipes" sheetId="4" r:id="rId1"/>
  </sheets>
  <definedNames>
    <definedName name="_xlnm._FilterDatabase" localSheetId="0" hidden="1">Recipes!$A$4:$K$4</definedName>
    <definedName name="이미지">INDEX(#REF!,#REF!,#REF!)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</calcChain>
</file>

<file path=xl/sharedStrings.xml><?xml version="1.0" encoding="utf-8"?>
<sst xmlns="http://schemas.openxmlformats.org/spreadsheetml/2006/main" count="88" uniqueCount="88">
  <si>
    <t>ID</t>
    <phoneticPr fontId="1" type="noConversion"/>
  </si>
  <si>
    <t>Description</t>
    <phoneticPr fontId="1" type="noConversion"/>
  </si>
  <si>
    <t>Recipes</t>
    <phoneticPr fontId="1" type="noConversion"/>
  </si>
  <si>
    <t>Level</t>
    <phoneticPr fontId="1" type="noConversion"/>
  </si>
  <si>
    <t>Gold</t>
    <phoneticPr fontId="1" type="noConversion"/>
  </si>
  <si>
    <t>Item</t>
    <phoneticPr fontId="1" type="noConversion"/>
  </si>
  <si>
    <t>Material_1</t>
    <phoneticPr fontId="1" type="noConversion"/>
  </si>
  <si>
    <t>Material_2</t>
    <phoneticPr fontId="1" type="noConversion"/>
  </si>
  <si>
    <t>Material_1 Count</t>
    <phoneticPr fontId="1" type="noConversion"/>
  </si>
  <si>
    <t>Material_2 Count</t>
    <phoneticPr fontId="1" type="noConversion"/>
  </si>
  <si>
    <t>Material_3 Count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</si>
  <si>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</si>
  <si>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</si>
  <si>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</si>
  <si>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</si>
  <si>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</si>
  <si>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</si>
  <si>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</si>
  <si>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</si>
  <si>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</si>
  <si>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</si>
  <si>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</si>
  <si>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</si>
  <si>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</si>
  <si>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</si>
  <si>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</si>
  <si>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</si>
  <si>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</si>
  <si>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</si>
  <si>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</si>
  <si>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</si>
  <si>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</si>
  <si>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</si>
  <si>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</si>
  <si>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</si>
  <si>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Material_3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</si>
  <si>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</si>
  <si>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</si>
  <si>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</si>
  <si>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</si>
  <si>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</si>
  <si>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</si>
  <si>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</si>
  <si>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</si>
  <si>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</si>
  <si>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</si>
  <si>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</si>
  <si>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</si>
  <si>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</si>
  <si>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아르테미스의 활을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</si>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</sst>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sz val="10"/>
      <color theme="5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9" xfId="0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4" borderId="9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4" borderId="0" xfId="0" applyFont="1" applyFill="1" applyAlignment="1">
      <alignment horizontal="right" vertical="center"/>
    </xf>
  </cellXfs>
  <cellStyles count="1">
    <cellStyle name="표준" xfId="0" builtinId="0"/>
  </cellStyles>
  <dxfs count="558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1219200</xdr:colOff>
          <xdr:row>0</xdr:row>
          <xdr:rowOff>25400</xdr:rowOff>
        </xdr:from>
        <xdr:to>
          <xdr:col>11</xdr:col>
          <xdr:colOff>0</xdr:colOff>
          <xdr:row>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B9DD-2680-7949-A08B-81FE72D918B2}">
  <sheetPr codeName="Sheet4"/>
  <dimension ref="A1:K80"/>
  <sheetViews>
    <sheetView tabSelected="1" workbookViewId="0">
      <pane ySplit="4" topLeftCell="A5" activePane="bottomLeft" state="frozen"/>
      <selection pane="bottomLeft" activeCell="I20" sqref="I20"/>
    </sheetView>
  </sheetViews>
  <sheetFormatPr baseColWidth="10" defaultColWidth="10.7109375" defaultRowHeight="15"/>
  <cols>
    <col min="1" max="1" width="9" style="9" customWidth="1"/>
    <col min="2" max="4" width="10.7109375" style="10"/>
    <col min="5" max="5" width="12.7109375" style="10" customWidth="1"/>
    <col min="6" max="6" width="16.7109375" style="19" customWidth="1"/>
    <col min="7" max="7" width="12.7109375" style="10" customWidth="1"/>
    <col min="8" max="8" width="16.7109375" style="19" customWidth="1"/>
    <col min="9" max="9" width="12.7109375" style="10" customWidth="1"/>
    <col min="10" max="10" width="16.7109375" style="19" customWidth="1"/>
    <col min="11" max="11" width="40.7109375" style="6" customWidth="1"/>
    <col min="12" max="16384" width="10.7109375" style="11"/>
  </cols>
  <sheetData>
    <row r="1" spans="1:11" ht="16" thickBot="1">
      <c r="A1" s="5" t="s">
        <v>2</v>
      </c>
      <c r="B1" s="4"/>
      <c r="C1" s="4"/>
      <c r="D1" s="4"/>
      <c r="E1" s="4"/>
      <c r="F1" s="17"/>
      <c r="G1" s="4"/>
      <c r="H1" s="17"/>
      <c r="I1" s="4"/>
      <c r="J1" s="17"/>
      <c r="K1" s="4"/>
    </row>
    <row r="2" spans="1:11" ht="16" thickBot="1">
      <c r="A2" s="13">
        <f>COUNTA(A5:A109974)</f>
        <v>76</v>
      </c>
      <c r="B2" s="4"/>
      <c r="C2" s="4"/>
      <c r="D2" s="4"/>
      <c r="E2" s="4"/>
      <c r="F2" s="17"/>
      <c r="G2" s="4"/>
      <c r="H2" s="17"/>
      <c r="I2" s="4"/>
      <c r="J2" s="17"/>
      <c r="K2" s="4"/>
    </row>
    <row r="3" spans="1:11" ht="16" thickBot="1">
      <c r="A3" s="4"/>
      <c r="B3" s="4"/>
      <c r="C3" s="4"/>
      <c r="D3" s="4"/>
      <c r="E3" s="4"/>
      <c r="F3" s="17"/>
      <c r="G3" s="4"/>
      <c r="H3" s="17"/>
      <c r="I3" s="4"/>
      <c r="J3" s="17"/>
      <c r="K3" s="4"/>
    </row>
    <row r="4" spans="1:11" ht="16" thickBot="1">
      <c r="A4" s="1" t="s">
        <v>0</v>
      </c>
      <c r="B4" s="2" t="s">
        <v>5</v>
      </c>
      <c r="C4" s="2" t="s">
        <v>3</v>
      </c>
      <c r="D4" s="2" t="s">
        <v>4</v>
      </c>
      <c r="E4" s="2" t="s">
        <v>6</v>
      </c>
      <c r="F4" s="14" t="s">
        <v>8</v>
      </c>
      <c r="G4" s="2" t="s">
        <v>7</v>
      </c>
      <c r="H4" s="14" t="s">
        <v>9</v>
      </c>
      <c r="I4" s="2" t="s">
        <v>35</v>
      </c>
      <c r="J4" s="14" t="s">
        <v>10</v>
      </c>
      <c r="K4" s="3" t="s">
        <v>1</v>
      </c>
    </row>
    <row r="5" spans="1:11">
      <c r="A5" s="20">
        <v>5001</v>
      </c>
      <c r="B5" s="15">
        <v>3001</v>
      </c>
      <c r="C5" s="7">
        <v>1</v>
      </c>
      <c r="D5" s="7">
        <v>2</v>
      </c>
      <c r="E5" s="7">
        <v>4001</v>
      </c>
      <c r="F5" s="18">
        <v>2</v>
      </c>
      <c r="G5" s="7"/>
      <c r="H5" s="18"/>
      <c r="I5" s="7"/>
      <c r="J5" s="7"/>
      <c r="K5" s="8" t="s">
        <v>13</v>
      </c>
    </row>
    <row r="6" spans="1:11">
      <c r="A6" s="12">
        <v>5002</v>
      </c>
      <c r="B6" s="16">
        <v>3002</v>
      </c>
      <c r="C6" s="10">
        <v>1</v>
      </c>
      <c r="D6" s="10">
        <v>4</v>
      </c>
      <c r="E6" s="10">
        <v>4001</v>
      </c>
      <c r="F6" s="19">
        <v>4</v>
      </c>
      <c r="J6" s="10"/>
      <c r="K6" s="6" t="s">
        <v>14</v>
      </c>
    </row>
    <row r="7" spans="1:11">
      <c r="A7" s="12">
        <v>5003</v>
      </c>
      <c r="B7" s="16">
        <v>3003</v>
      </c>
      <c r="C7" s="10">
        <v>1</v>
      </c>
      <c r="D7" s="10">
        <v>10</v>
      </c>
      <c r="E7" s="10">
        <v>4001</v>
      </c>
      <c r="F7" s="19">
        <v>5</v>
      </c>
      <c r="G7" s="10">
        <v>4004</v>
      </c>
      <c r="H7" s="19">
        <v>1</v>
      </c>
      <c r="J7" s="10"/>
      <c r="K7" s="6" t="s">
        <v>15</v>
      </c>
    </row>
    <row r="8" spans="1:11">
      <c r="A8" s="12">
        <v>5004</v>
      </c>
      <c r="B8" s="16">
        <v>3004</v>
      </c>
      <c r="C8" s="10">
        <v>1</v>
      </c>
      <c r="D8" s="10">
        <v>10</v>
      </c>
      <c r="E8" s="10">
        <v>4002</v>
      </c>
      <c r="F8" s="19">
        <v>4</v>
      </c>
      <c r="G8" s="10">
        <v>4003</v>
      </c>
      <c r="H8" s="19">
        <v>1</v>
      </c>
      <c r="J8" s="10"/>
      <c r="K8" s="6" t="s">
        <v>16</v>
      </c>
    </row>
    <row r="9" spans="1:11">
      <c r="A9" s="12">
        <v>5005</v>
      </c>
      <c r="B9" s="25">
        <v>1</v>
      </c>
      <c r="C9" s="10">
        <v>5</v>
      </c>
      <c r="D9" s="10">
        <v>10</v>
      </c>
      <c r="E9" s="10">
        <v>4005</v>
      </c>
      <c r="F9" s="19">
        <v>2</v>
      </c>
      <c r="G9" s="10">
        <v>4011</v>
      </c>
      <c r="H9" s="19">
        <v>2</v>
      </c>
      <c r="I9" s="10">
        <v>4029</v>
      </c>
      <c r="J9" s="19">
        <v>2</v>
      </c>
      <c r="K9" s="6" t="s">
        <v>17</v>
      </c>
    </row>
    <row r="10" spans="1:11">
      <c r="A10" s="12">
        <v>5006</v>
      </c>
      <c r="B10" s="25">
        <v>101</v>
      </c>
      <c r="C10" s="10">
        <v>5</v>
      </c>
      <c r="D10" s="10">
        <v>10</v>
      </c>
      <c r="E10" s="10">
        <v>4005</v>
      </c>
      <c r="F10" s="19">
        <v>2</v>
      </c>
      <c r="G10" s="10">
        <v>4014</v>
      </c>
      <c r="H10" s="19">
        <v>2</v>
      </c>
      <c r="I10" s="10">
        <v>4032</v>
      </c>
      <c r="J10" s="19">
        <v>2</v>
      </c>
      <c r="K10" s="6" t="s">
        <v>18</v>
      </c>
    </row>
    <row r="11" spans="1:11">
      <c r="A11" s="12">
        <v>5007</v>
      </c>
      <c r="B11" s="25">
        <v>201</v>
      </c>
      <c r="C11" s="10">
        <v>5</v>
      </c>
      <c r="D11" s="10">
        <v>10</v>
      </c>
      <c r="E11" s="10">
        <v>4005</v>
      </c>
      <c r="F11" s="19">
        <v>2</v>
      </c>
      <c r="G11" s="10">
        <v>4017</v>
      </c>
      <c r="H11" s="19">
        <v>2</v>
      </c>
      <c r="I11" s="10">
        <v>4032</v>
      </c>
      <c r="J11" s="19">
        <v>2</v>
      </c>
      <c r="K11" s="6" t="s">
        <v>19</v>
      </c>
    </row>
    <row r="12" spans="1:11">
      <c r="A12" s="12">
        <v>5008</v>
      </c>
      <c r="B12" s="25">
        <v>301</v>
      </c>
      <c r="C12" s="10">
        <v>5</v>
      </c>
      <c r="D12" s="10">
        <v>10</v>
      </c>
      <c r="E12" s="10">
        <v>4005</v>
      </c>
      <c r="F12" s="19">
        <v>2</v>
      </c>
      <c r="G12" s="10">
        <v>4020</v>
      </c>
      <c r="H12" s="19">
        <v>2</v>
      </c>
      <c r="I12" s="10">
        <v>4035</v>
      </c>
      <c r="J12" s="19">
        <v>2</v>
      </c>
      <c r="K12" s="6" t="s">
        <v>20</v>
      </c>
    </row>
    <row r="13" spans="1:11">
      <c r="A13" s="12">
        <v>5009</v>
      </c>
      <c r="B13" s="25">
        <v>401</v>
      </c>
      <c r="C13" s="10">
        <v>5</v>
      </c>
      <c r="D13" s="10">
        <v>10</v>
      </c>
      <c r="E13" s="10">
        <v>4005</v>
      </c>
      <c r="F13" s="19">
        <v>2</v>
      </c>
      <c r="G13" s="10">
        <v>4023</v>
      </c>
      <c r="H13" s="19">
        <v>2</v>
      </c>
      <c r="I13" s="10">
        <v>4038</v>
      </c>
      <c r="J13" s="19">
        <v>2</v>
      </c>
      <c r="K13" s="6" t="s">
        <v>21</v>
      </c>
    </row>
    <row r="14" spans="1:11">
      <c r="A14" s="12">
        <v>5010</v>
      </c>
      <c r="B14" s="25">
        <v>501</v>
      </c>
      <c r="C14" s="10">
        <v>5</v>
      </c>
      <c r="D14" s="10">
        <v>10</v>
      </c>
      <c r="E14" s="10">
        <v>4005</v>
      </c>
      <c r="F14" s="19">
        <v>2</v>
      </c>
      <c r="G14" s="10">
        <v>4026</v>
      </c>
      <c r="H14" s="19">
        <v>2</v>
      </c>
      <c r="I14" s="10">
        <v>4038</v>
      </c>
      <c r="J14" s="19">
        <v>2</v>
      </c>
      <c r="K14" s="6" t="s">
        <v>26</v>
      </c>
    </row>
    <row r="15" spans="1:11">
      <c r="A15" s="12">
        <v>5011</v>
      </c>
      <c r="B15" s="25">
        <v>1001</v>
      </c>
      <c r="C15" s="10">
        <v>5</v>
      </c>
      <c r="D15" s="10">
        <v>10</v>
      </c>
      <c r="E15" s="10">
        <v>4005</v>
      </c>
      <c r="F15" s="19">
        <v>2</v>
      </c>
      <c r="G15" s="10">
        <v>4011</v>
      </c>
      <c r="H15" s="19">
        <v>2</v>
      </c>
      <c r="I15" s="10">
        <v>4029</v>
      </c>
      <c r="J15" s="19">
        <v>2</v>
      </c>
      <c r="K15" s="6" t="s">
        <v>22</v>
      </c>
    </row>
    <row r="16" spans="1:11">
      <c r="A16" s="12">
        <v>5012</v>
      </c>
      <c r="B16" s="25">
        <v>1101</v>
      </c>
      <c r="C16" s="10">
        <v>5</v>
      </c>
      <c r="D16" s="10">
        <v>10</v>
      </c>
      <c r="E16" s="10">
        <v>4005</v>
      </c>
      <c r="F16" s="19">
        <v>2</v>
      </c>
      <c r="G16" s="10">
        <v>4014</v>
      </c>
      <c r="H16" s="19">
        <v>2</v>
      </c>
      <c r="I16" s="10">
        <v>4032</v>
      </c>
      <c r="J16" s="19">
        <v>2</v>
      </c>
      <c r="K16" s="6" t="s">
        <v>23</v>
      </c>
    </row>
    <row r="17" spans="1:11">
      <c r="A17" s="12">
        <v>5013</v>
      </c>
      <c r="B17" s="25">
        <v>1201</v>
      </c>
      <c r="C17" s="10">
        <v>5</v>
      </c>
      <c r="D17" s="10">
        <v>10</v>
      </c>
      <c r="E17" s="10">
        <v>4005</v>
      </c>
      <c r="F17" s="19">
        <v>2</v>
      </c>
      <c r="G17" s="10">
        <v>4017</v>
      </c>
      <c r="H17" s="19">
        <v>2</v>
      </c>
      <c r="I17" s="10">
        <v>4035</v>
      </c>
      <c r="J17" s="19">
        <v>2</v>
      </c>
      <c r="K17" s="6" t="s">
        <v>24</v>
      </c>
    </row>
    <row r="18" spans="1:11">
      <c r="A18" s="12">
        <v>5014</v>
      </c>
      <c r="B18" s="25">
        <v>2001</v>
      </c>
      <c r="C18" s="10">
        <v>5</v>
      </c>
      <c r="D18" s="10">
        <v>10</v>
      </c>
      <c r="E18" s="10">
        <v>4006</v>
      </c>
      <c r="F18" s="19">
        <v>2</v>
      </c>
      <c r="G18" s="10">
        <v>4011</v>
      </c>
      <c r="H18" s="19">
        <v>5</v>
      </c>
      <c r="I18" s="10">
        <v>4029</v>
      </c>
      <c r="J18" s="19">
        <v>5</v>
      </c>
      <c r="K18" s="6" t="s">
        <v>25</v>
      </c>
    </row>
    <row r="19" spans="1:11">
      <c r="A19" s="12">
        <v>5015</v>
      </c>
      <c r="B19" s="25">
        <v>2101</v>
      </c>
      <c r="C19" s="10">
        <v>5</v>
      </c>
      <c r="D19" s="10">
        <v>10</v>
      </c>
      <c r="E19" s="10">
        <v>4006</v>
      </c>
      <c r="F19" s="19">
        <v>2</v>
      </c>
      <c r="G19" s="10">
        <v>4014</v>
      </c>
      <c r="H19" s="19">
        <v>5</v>
      </c>
      <c r="I19" s="10">
        <v>4029</v>
      </c>
      <c r="J19" s="19">
        <v>5</v>
      </c>
      <c r="K19" s="6" t="s">
        <v>27</v>
      </c>
    </row>
    <row r="20" spans="1:11">
      <c r="A20" s="12">
        <v>5016</v>
      </c>
      <c r="B20" s="25">
        <v>2201</v>
      </c>
      <c r="C20" s="10">
        <v>5</v>
      </c>
      <c r="D20" s="10">
        <v>10</v>
      </c>
      <c r="E20" s="10">
        <v>4006</v>
      </c>
      <c r="F20" s="19">
        <v>2</v>
      </c>
      <c r="G20" s="10">
        <v>4017</v>
      </c>
      <c r="H20" s="19">
        <v>5</v>
      </c>
      <c r="I20" s="10">
        <v>4032</v>
      </c>
      <c r="J20" s="19">
        <v>5</v>
      </c>
      <c r="K20" s="6" t="s">
        <v>28</v>
      </c>
    </row>
    <row r="21" spans="1:11">
      <c r="A21" s="12">
        <v>5017</v>
      </c>
      <c r="B21" s="25">
        <v>2301</v>
      </c>
      <c r="C21" s="10">
        <v>5</v>
      </c>
      <c r="D21" s="10">
        <v>10</v>
      </c>
      <c r="E21" s="10">
        <v>4006</v>
      </c>
      <c r="F21" s="19">
        <v>2</v>
      </c>
      <c r="G21" s="10">
        <v>4020</v>
      </c>
      <c r="H21" s="19">
        <v>5</v>
      </c>
      <c r="I21" s="10">
        <v>4035</v>
      </c>
      <c r="J21" s="19">
        <v>5</v>
      </c>
      <c r="K21" s="6" t="s">
        <v>29</v>
      </c>
    </row>
    <row r="22" spans="1:11">
      <c r="A22" s="12">
        <v>5018</v>
      </c>
      <c r="B22" s="25">
        <v>2401</v>
      </c>
      <c r="C22" s="10">
        <v>5</v>
      </c>
      <c r="D22" s="10">
        <v>10</v>
      </c>
      <c r="E22" s="10">
        <v>4006</v>
      </c>
      <c r="F22" s="19">
        <v>2</v>
      </c>
      <c r="G22" s="10">
        <v>4023</v>
      </c>
      <c r="H22" s="19">
        <v>5</v>
      </c>
      <c r="I22" s="10">
        <v>4035</v>
      </c>
      <c r="J22" s="19">
        <v>5</v>
      </c>
      <c r="K22" s="6" t="s">
        <v>12</v>
      </c>
    </row>
    <row r="23" spans="1:11">
      <c r="A23" s="21">
        <v>5019</v>
      </c>
      <c r="B23" s="26">
        <v>2501</v>
      </c>
      <c r="C23" s="22">
        <v>5</v>
      </c>
      <c r="D23" s="10">
        <v>10</v>
      </c>
      <c r="E23" s="10">
        <v>4006</v>
      </c>
      <c r="F23" s="23">
        <v>2</v>
      </c>
      <c r="G23" s="22">
        <v>4026</v>
      </c>
      <c r="H23" s="23">
        <v>5</v>
      </c>
      <c r="I23" s="22">
        <v>4038</v>
      </c>
      <c r="J23" s="23">
        <v>5</v>
      </c>
      <c r="K23" s="24" t="s">
        <v>11</v>
      </c>
    </row>
    <row r="24" spans="1:11">
      <c r="A24" s="12">
        <v>5020</v>
      </c>
      <c r="B24" s="25">
        <v>2</v>
      </c>
      <c r="C24" s="10">
        <v>10</v>
      </c>
      <c r="D24" s="10">
        <v>20</v>
      </c>
      <c r="E24" s="10">
        <v>4006</v>
      </c>
      <c r="F24" s="19">
        <v>2</v>
      </c>
      <c r="G24" s="10">
        <v>4011</v>
      </c>
      <c r="H24" s="19">
        <v>5</v>
      </c>
      <c r="I24" s="10">
        <v>4029</v>
      </c>
      <c r="J24" s="19">
        <v>5</v>
      </c>
      <c r="K24" s="6" t="s">
        <v>30</v>
      </c>
    </row>
    <row r="25" spans="1:11">
      <c r="A25" s="12">
        <v>5021</v>
      </c>
      <c r="B25" s="25">
        <v>3</v>
      </c>
      <c r="C25" s="10">
        <v>15</v>
      </c>
      <c r="D25" s="10">
        <v>30</v>
      </c>
      <c r="E25" s="10">
        <v>4007</v>
      </c>
      <c r="F25" s="19">
        <v>2</v>
      </c>
      <c r="G25" s="10">
        <v>4012</v>
      </c>
      <c r="H25" s="19">
        <v>2</v>
      </c>
      <c r="I25" s="10">
        <v>4030</v>
      </c>
      <c r="J25" s="19">
        <v>2</v>
      </c>
      <c r="K25" s="6" t="s">
        <v>31</v>
      </c>
    </row>
    <row r="26" spans="1:11">
      <c r="A26" s="12">
        <v>5022</v>
      </c>
      <c r="B26" s="25">
        <v>4</v>
      </c>
      <c r="C26" s="10">
        <v>20</v>
      </c>
      <c r="D26" s="10">
        <v>40</v>
      </c>
      <c r="E26" s="10">
        <v>4008</v>
      </c>
      <c r="F26" s="19">
        <v>2</v>
      </c>
      <c r="G26" s="10">
        <v>4012</v>
      </c>
      <c r="H26" s="19">
        <v>5</v>
      </c>
      <c r="I26" s="10">
        <v>4030</v>
      </c>
      <c r="J26" s="19">
        <v>5</v>
      </c>
      <c r="K26" s="6" t="s">
        <v>32</v>
      </c>
    </row>
    <row r="27" spans="1:11">
      <c r="A27" s="12">
        <v>5023</v>
      </c>
      <c r="B27" s="25">
        <v>5</v>
      </c>
      <c r="C27" s="10">
        <v>25</v>
      </c>
      <c r="D27" s="10">
        <v>50</v>
      </c>
      <c r="E27" s="10">
        <v>4009</v>
      </c>
      <c r="F27" s="19">
        <v>2</v>
      </c>
      <c r="G27" s="10">
        <v>4013</v>
      </c>
      <c r="H27" s="19">
        <v>2</v>
      </c>
      <c r="I27" s="10">
        <v>4031</v>
      </c>
      <c r="J27" s="19">
        <v>2</v>
      </c>
      <c r="K27" s="6" t="s">
        <v>33</v>
      </c>
    </row>
    <row r="28" spans="1:11">
      <c r="A28" s="12">
        <v>5024</v>
      </c>
      <c r="B28" s="25">
        <v>6</v>
      </c>
      <c r="C28" s="10">
        <v>30</v>
      </c>
      <c r="D28" s="10">
        <v>60</v>
      </c>
      <c r="E28" s="10">
        <v>4010</v>
      </c>
      <c r="F28" s="19">
        <v>2</v>
      </c>
      <c r="G28" s="10">
        <v>4013</v>
      </c>
      <c r="H28" s="19">
        <v>5</v>
      </c>
      <c r="I28" s="10">
        <v>4031</v>
      </c>
      <c r="J28" s="19">
        <v>5</v>
      </c>
      <c r="K28" s="6" t="s">
        <v>34</v>
      </c>
    </row>
    <row r="29" spans="1:11">
      <c r="A29" s="12">
        <v>5025</v>
      </c>
      <c r="B29" s="25">
        <v>102</v>
      </c>
      <c r="C29" s="10">
        <v>10</v>
      </c>
      <c r="D29" s="10">
        <v>20</v>
      </c>
      <c r="E29" s="10">
        <v>4006</v>
      </c>
      <c r="F29" s="19">
        <v>2</v>
      </c>
      <c r="G29" s="10">
        <v>4014</v>
      </c>
      <c r="H29" s="19">
        <v>5</v>
      </c>
      <c r="I29" s="10">
        <v>4032</v>
      </c>
      <c r="J29" s="19">
        <v>5</v>
      </c>
      <c r="K29" s="6" t="s">
        <v>36</v>
      </c>
    </row>
    <row r="30" spans="1:11">
      <c r="A30" s="12">
        <v>5026</v>
      </c>
      <c r="B30" s="25">
        <v>103</v>
      </c>
      <c r="C30" s="10">
        <v>15</v>
      </c>
      <c r="D30" s="10">
        <v>30</v>
      </c>
      <c r="E30" s="10">
        <v>4007</v>
      </c>
      <c r="F30" s="19">
        <v>2</v>
      </c>
      <c r="G30" s="10">
        <v>4015</v>
      </c>
      <c r="H30" s="19">
        <v>2</v>
      </c>
      <c r="I30" s="10">
        <v>4033</v>
      </c>
      <c r="J30" s="19">
        <v>2</v>
      </c>
      <c r="K30" s="6" t="s">
        <v>37</v>
      </c>
    </row>
    <row r="31" spans="1:11">
      <c r="A31" s="12">
        <v>5027</v>
      </c>
      <c r="B31" s="25">
        <v>104</v>
      </c>
      <c r="C31" s="10">
        <v>20</v>
      </c>
      <c r="D31" s="10">
        <v>40</v>
      </c>
      <c r="E31" s="10">
        <v>4008</v>
      </c>
      <c r="F31" s="19">
        <v>2</v>
      </c>
      <c r="G31" s="10">
        <v>4015</v>
      </c>
      <c r="H31" s="19">
        <v>5</v>
      </c>
      <c r="I31" s="10">
        <v>4033</v>
      </c>
      <c r="J31" s="19">
        <v>5</v>
      </c>
      <c r="K31" s="6" t="s">
        <v>38</v>
      </c>
    </row>
    <row r="32" spans="1:11">
      <c r="A32" s="12">
        <v>5028</v>
      </c>
      <c r="B32" s="25">
        <v>105</v>
      </c>
      <c r="C32" s="10">
        <v>25</v>
      </c>
      <c r="D32" s="10">
        <v>50</v>
      </c>
      <c r="E32" s="10">
        <v>4009</v>
      </c>
      <c r="F32" s="19">
        <v>2</v>
      </c>
      <c r="G32" s="10">
        <v>4016</v>
      </c>
      <c r="H32" s="19">
        <v>2</v>
      </c>
      <c r="I32" s="10">
        <v>4034</v>
      </c>
      <c r="J32" s="19">
        <v>2</v>
      </c>
      <c r="K32" s="6" t="s">
        <v>39</v>
      </c>
    </row>
    <row r="33" spans="1:11">
      <c r="A33" s="12">
        <v>5029</v>
      </c>
      <c r="B33" s="25">
        <v>106</v>
      </c>
      <c r="C33" s="10">
        <v>30</v>
      </c>
      <c r="D33" s="10">
        <v>60</v>
      </c>
      <c r="E33" s="10">
        <v>4010</v>
      </c>
      <c r="F33" s="19">
        <v>2</v>
      </c>
      <c r="G33" s="10">
        <v>4016</v>
      </c>
      <c r="H33" s="19">
        <v>5</v>
      </c>
      <c r="I33" s="10">
        <v>4034</v>
      </c>
      <c r="J33" s="19">
        <v>5</v>
      </c>
      <c r="K33" s="6" t="s">
        <v>40</v>
      </c>
    </row>
    <row r="34" spans="1:11">
      <c r="A34" s="12">
        <v>5030</v>
      </c>
      <c r="B34" s="25">
        <v>202</v>
      </c>
      <c r="C34" s="10">
        <v>10</v>
      </c>
      <c r="D34" s="10">
        <v>20</v>
      </c>
      <c r="E34" s="10">
        <v>4006</v>
      </c>
      <c r="F34" s="19">
        <v>2</v>
      </c>
      <c r="G34" s="10">
        <v>4017</v>
      </c>
      <c r="H34" s="19">
        <v>5</v>
      </c>
      <c r="I34" s="10">
        <v>4032</v>
      </c>
      <c r="J34" s="19">
        <v>5</v>
      </c>
      <c r="K34" s="6" t="s">
        <v>41</v>
      </c>
    </row>
    <row r="35" spans="1:11">
      <c r="A35" s="12">
        <v>5031</v>
      </c>
      <c r="B35" s="25">
        <v>203</v>
      </c>
      <c r="C35" s="10">
        <v>15</v>
      </c>
      <c r="D35" s="10">
        <v>30</v>
      </c>
      <c r="E35" s="10">
        <v>4007</v>
      </c>
      <c r="F35" s="19">
        <v>2</v>
      </c>
      <c r="G35" s="10">
        <v>4018</v>
      </c>
      <c r="H35" s="19">
        <v>2</v>
      </c>
      <c r="I35" s="10">
        <v>4033</v>
      </c>
      <c r="J35" s="19">
        <v>2</v>
      </c>
      <c r="K35" s="6" t="s">
        <v>42</v>
      </c>
    </row>
    <row r="36" spans="1:11">
      <c r="A36" s="12">
        <v>5032</v>
      </c>
      <c r="B36" s="25">
        <v>204</v>
      </c>
      <c r="C36" s="10">
        <v>20</v>
      </c>
      <c r="D36" s="10">
        <v>40</v>
      </c>
      <c r="E36" s="10">
        <v>4008</v>
      </c>
      <c r="F36" s="19">
        <v>2</v>
      </c>
      <c r="G36" s="10">
        <v>4018</v>
      </c>
      <c r="H36" s="19">
        <v>5</v>
      </c>
      <c r="I36" s="10">
        <v>4033</v>
      </c>
      <c r="J36" s="19">
        <v>5</v>
      </c>
      <c r="K36" s="6" t="s">
        <v>43</v>
      </c>
    </row>
    <row r="37" spans="1:11">
      <c r="A37" s="12">
        <v>5033</v>
      </c>
      <c r="B37" s="25">
        <v>205</v>
      </c>
      <c r="C37" s="10">
        <v>25</v>
      </c>
      <c r="D37" s="10">
        <v>50</v>
      </c>
      <c r="E37" s="10">
        <v>4009</v>
      </c>
      <c r="F37" s="19">
        <v>2</v>
      </c>
      <c r="G37" s="10">
        <v>4019</v>
      </c>
      <c r="H37" s="19">
        <v>2</v>
      </c>
      <c r="I37" s="10">
        <v>4034</v>
      </c>
      <c r="J37" s="19">
        <v>2</v>
      </c>
      <c r="K37" s="6" t="s">
        <v>44</v>
      </c>
    </row>
    <row r="38" spans="1:11">
      <c r="A38" s="12">
        <v>5034</v>
      </c>
      <c r="B38" s="25">
        <v>206</v>
      </c>
      <c r="C38" s="10">
        <v>30</v>
      </c>
      <c r="D38" s="10">
        <v>60</v>
      </c>
      <c r="E38" s="10">
        <v>4010</v>
      </c>
      <c r="F38" s="19">
        <v>2</v>
      </c>
      <c r="G38" s="10">
        <v>4019</v>
      </c>
      <c r="H38" s="19">
        <v>5</v>
      </c>
      <c r="I38" s="10">
        <v>4034</v>
      </c>
      <c r="J38" s="19">
        <v>5</v>
      </c>
      <c r="K38" s="6" t="s">
        <v>45</v>
      </c>
    </row>
    <row r="39" spans="1:11">
      <c r="A39" s="12">
        <v>5035</v>
      </c>
      <c r="B39" s="25">
        <v>302</v>
      </c>
      <c r="C39" s="10">
        <v>10</v>
      </c>
      <c r="D39" s="10">
        <v>20</v>
      </c>
      <c r="E39" s="10">
        <v>4006</v>
      </c>
      <c r="F39" s="19">
        <v>2</v>
      </c>
      <c r="G39" s="10">
        <v>4020</v>
      </c>
      <c r="H39" s="19">
        <v>5</v>
      </c>
      <c r="I39" s="10">
        <v>4035</v>
      </c>
      <c r="J39" s="19">
        <v>5</v>
      </c>
      <c r="K39" s="6" t="s">
        <v>46</v>
      </c>
    </row>
    <row r="40" spans="1:11">
      <c r="A40" s="12">
        <v>5036</v>
      </c>
      <c r="B40" s="25">
        <v>303</v>
      </c>
      <c r="C40" s="10">
        <v>15</v>
      </c>
      <c r="D40" s="10">
        <v>30</v>
      </c>
      <c r="E40" s="10">
        <v>4007</v>
      </c>
      <c r="F40" s="19">
        <v>2</v>
      </c>
      <c r="G40" s="10">
        <v>4021</v>
      </c>
      <c r="H40" s="19">
        <v>2</v>
      </c>
      <c r="I40" s="10">
        <v>4036</v>
      </c>
      <c r="J40" s="19">
        <v>2</v>
      </c>
      <c r="K40" s="6" t="s">
        <v>47</v>
      </c>
    </row>
    <row r="41" spans="1:11">
      <c r="A41" s="12">
        <v>5037</v>
      </c>
      <c r="B41" s="25">
        <v>304</v>
      </c>
      <c r="C41" s="10">
        <v>20</v>
      </c>
      <c r="D41" s="10">
        <v>40</v>
      </c>
      <c r="E41" s="10">
        <v>4008</v>
      </c>
      <c r="F41" s="19">
        <v>2</v>
      </c>
      <c r="G41" s="10">
        <v>4021</v>
      </c>
      <c r="H41" s="19">
        <v>5</v>
      </c>
      <c r="I41" s="10">
        <v>4036</v>
      </c>
      <c r="J41" s="19">
        <v>5</v>
      </c>
      <c r="K41" s="6" t="s">
        <v>48</v>
      </c>
    </row>
    <row r="42" spans="1:11">
      <c r="A42" s="12">
        <v>5038</v>
      </c>
      <c r="B42" s="25">
        <v>305</v>
      </c>
      <c r="C42" s="10">
        <v>25</v>
      </c>
      <c r="D42" s="10">
        <v>50</v>
      </c>
      <c r="E42" s="10">
        <v>4009</v>
      </c>
      <c r="F42" s="19">
        <v>2</v>
      </c>
      <c r="G42" s="10">
        <v>4022</v>
      </c>
      <c r="H42" s="19">
        <v>2</v>
      </c>
      <c r="I42" s="10">
        <v>4037</v>
      </c>
      <c r="J42" s="19">
        <v>2</v>
      </c>
      <c r="K42" s="6" t="s">
        <v>49</v>
      </c>
    </row>
    <row r="43" spans="1:11">
      <c r="A43" s="12">
        <v>5039</v>
      </c>
      <c r="B43" s="25">
        <v>306</v>
      </c>
      <c r="C43" s="10">
        <v>30</v>
      </c>
      <c r="D43" s="10">
        <v>60</v>
      </c>
      <c r="E43" s="10">
        <v>4010</v>
      </c>
      <c r="F43" s="19">
        <v>2</v>
      </c>
      <c r="G43" s="10">
        <v>4022</v>
      </c>
      <c r="H43" s="19">
        <v>5</v>
      </c>
      <c r="I43" s="10">
        <v>4037</v>
      </c>
      <c r="J43" s="19">
        <v>5</v>
      </c>
      <c r="K43" s="6" t="s">
        <v>50</v>
      </c>
    </row>
    <row r="44" spans="1:11">
      <c r="A44" s="12">
        <v>5040</v>
      </c>
      <c r="B44" s="25">
        <v>402</v>
      </c>
      <c r="C44" s="10">
        <v>10</v>
      </c>
      <c r="D44" s="10">
        <v>20</v>
      </c>
      <c r="E44" s="10">
        <v>4006</v>
      </c>
      <c r="F44" s="19">
        <v>2</v>
      </c>
      <c r="G44" s="10">
        <v>4023</v>
      </c>
      <c r="H44" s="19">
        <v>5</v>
      </c>
      <c r="I44" s="10">
        <v>4038</v>
      </c>
      <c r="J44" s="19">
        <v>5</v>
      </c>
      <c r="K44" s="6" t="s">
        <v>51</v>
      </c>
    </row>
    <row r="45" spans="1:11">
      <c r="A45" s="12">
        <v>5041</v>
      </c>
      <c r="B45" s="25">
        <v>403</v>
      </c>
      <c r="C45" s="10">
        <v>15</v>
      </c>
      <c r="D45" s="10">
        <v>30</v>
      </c>
      <c r="E45" s="10">
        <v>4007</v>
      </c>
      <c r="F45" s="19">
        <v>2</v>
      </c>
      <c r="G45" s="10">
        <v>4024</v>
      </c>
      <c r="H45" s="19">
        <v>2</v>
      </c>
      <c r="I45" s="10">
        <v>4039</v>
      </c>
      <c r="J45" s="19">
        <v>2</v>
      </c>
      <c r="K45" s="6" t="s">
        <v>52</v>
      </c>
    </row>
    <row r="46" spans="1:11">
      <c r="A46" s="12">
        <v>5042</v>
      </c>
      <c r="B46" s="25">
        <v>404</v>
      </c>
      <c r="C46" s="10">
        <v>20</v>
      </c>
      <c r="D46" s="10">
        <v>40</v>
      </c>
      <c r="E46" s="10">
        <v>4008</v>
      </c>
      <c r="F46" s="19">
        <v>2</v>
      </c>
      <c r="G46" s="10">
        <v>4024</v>
      </c>
      <c r="H46" s="19">
        <v>5</v>
      </c>
      <c r="I46" s="10">
        <v>4039</v>
      </c>
      <c r="J46" s="19">
        <v>5</v>
      </c>
      <c r="K46" s="6" t="s">
        <v>53</v>
      </c>
    </row>
    <row r="47" spans="1:11">
      <c r="A47" s="12">
        <v>5043</v>
      </c>
      <c r="B47" s="25">
        <v>405</v>
      </c>
      <c r="C47" s="10">
        <v>25</v>
      </c>
      <c r="D47" s="10">
        <v>50</v>
      </c>
      <c r="E47" s="10">
        <v>4009</v>
      </c>
      <c r="F47" s="19">
        <v>2</v>
      </c>
      <c r="G47" s="10">
        <v>4025</v>
      </c>
      <c r="H47" s="19">
        <v>2</v>
      </c>
      <c r="I47" s="10">
        <v>4040</v>
      </c>
      <c r="J47" s="19">
        <v>2</v>
      </c>
      <c r="K47" s="6" t="s">
        <v>54</v>
      </c>
    </row>
    <row r="48" spans="1:11">
      <c r="A48" s="12">
        <v>5044</v>
      </c>
      <c r="B48" s="25">
        <v>406</v>
      </c>
      <c r="C48" s="10">
        <v>30</v>
      </c>
      <c r="D48" s="10">
        <v>60</v>
      </c>
      <c r="E48" s="10">
        <v>4010</v>
      </c>
      <c r="F48" s="19">
        <v>2</v>
      </c>
      <c r="G48" s="10">
        <v>4025</v>
      </c>
      <c r="H48" s="19">
        <v>5</v>
      </c>
      <c r="I48" s="10">
        <v>4040</v>
      </c>
      <c r="J48" s="19">
        <v>5</v>
      </c>
      <c r="K48" s="6" t="s">
        <v>55</v>
      </c>
    </row>
    <row r="49" spans="1:11">
      <c r="A49" s="12">
        <v>5045</v>
      </c>
      <c r="B49" s="25">
        <v>502</v>
      </c>
      <c r="C49" s="10">
        <v>10</v>
      </c>
      <c r="D49" s="10">
        <v>20</v>
      </c>
      <c r="E49" s="10">
        <v>4006</v>
      </c>
      <c r="F49" s="19">
        <v>2</v>
      </c>
      <c r="G49" s="10">
        <v>4026</v>
      </c>
      <c r="H49" s="19">
        <v>5</v>
      </c>
      <c r="I49" s="10">
        <v>4038</v>
      </c>
      <c r="J49" s="19">
        <v>5</v>
      </c>
      <c r="K49" s="6" t="s">
        <v>56</v>
      </c>
    </row>
    <row r="50" spans="1:11">
      <c r="A50" s="12">
        <v>5046</v>
      </c>
      <c r="B50" s="25">
        <v>503</v>
      </c>
      <c r="C50" s="10">
        <v>15</v>
      </c>
      <c r="D50" s="10">
        <v>30</v>
      </c>
      <c r="E50" s="10">
        <v>4007</v>
      </c>
      <c r="F50" s="19">
        <v>2</v>
      </c>
      <c r="G50" s="10">
        <v>4027</v>
      </c>
      <c r="H50" s="19">
        <v>2</v>
      </c>
      <c r="I50" s="10">
        <v>4039</v>
      </c>
      <c r="J50" s="19">
        <v>2</v>
      </c>
      <c r="K50" s="6" t="s">
        <v>57</v>
      </c>
    </row>
    <row r="51" spans="1:11">
      <c r="A51" s="12">
        <v>5047</v>
      </c>
      <c r="B51" s="25">
        <v>504</v>
      </c>
      <c r="C51" s="10">
        <v>20</v>
      </c>
      <c r="D51" s="10">
        <v>40</v>
      </c>
      <c r="E51" s="10">
        <v>4008</v>
      </c>
      <c r="F51" s="19">
        <v>2</v>
      </c>
      <c r="G51" s="10">
        <v>4027</v>
      </c>
      <c r="H51" s="19">
        <v>5</v>
      </c>
      <c r="I51" s="10">
        <v>4039</v>
      </c>
      <c r="J51" s="19">
        <v>5</v>
      </c>
      <c r="K51" s="6" t="s">
        <v>58</v>
      </c>
    </row>
    <row r="52" spans="1:11">
      <c r="A52" s="12">
        <v>5048</v>
      </c>
      <c r="B52" s="25">
        <v>505</v>
      </c>
      <c r="C52" s="10">
        <v>25</v>
      </c>
      <c r="D52" s="10">
        <v>50</v>
      </c>
      <c r="E52" s="10">
        <v>4009</v>
      </c>
      <c r="F52" s="19">
        <v>2</v>
      </c>
      <c r="G52" s="10">
        <v>4028</v>
      </c>
      <c r="H52" s="19">
        <v>2</v>
      </c>
      <c r="I52" s="10">
        <v>4040</v>
      </c>
      <c r="J52" s="19">
        <v>2</v>
      </c>
      <c r="K52" s="6" t="s">
        <v>59</v>
      </c>
    </row>
    <row r="53" spans="1:11">
      <c r="A53" s="12">
        <v>5049</v>
      </c>
      <c r="B53" s="25">
        <v>506</v>
      </c>
      <c r="C53" s="10">
        <v>30</v>
      </c>
      <c r="D53" s="10">
        <v>60</v>
      </c>
      <c r="E53" s="10">
        <v>4010</v>
      </c>
      <c r="F53" s="19">
        <v>2</v>
      </c>
      <c r="G53" s="10">
        <v>4028</v>
      </c>
      <c r="H53" s="19">
        <v>5</v>
      </c>
      <c r="I53" s="10">
        <v>4040</v>
      </c>
      <c r="J53" s="19">
        <v>5</v>
      </c>
      <c r="K53" s="6" t="s">
        <v>60</v>
      </c>
    </row>
    <row r="54" spans="1:11">
      <c r="A54" s="12">
        <v>5050</v>
      </c>
      <c r="B54" s="25">
        <v>1002</v>
      </c>
      <c r="C54" s="10">
        <v>10</v>
      </c>
      <c r="D54" s="10">
        <v>20</v>
      </c>
      <c r="E54" s="10">
        <v>4006</v>
      </c>
      <c r="F54" s="19">
        <v>2</v>
      </c>
      <c r="G54" s="10">
        <v>4011</v>
      </c>
      <c r="H54" s="19">
        <v>5</v>
      </c>
      <c r="I54" s="10">
        <v>4029</v>
      </c>
      <c r="J54" s="19">
        <v>5</v>
      </c>
      <c r="K54" s="6" t="s">
        <v>61</v>
      </c>
    </row>
    <row r="55" spans="1:11">
      <c r="A55" s="12">
        <v>5051</v>
      </c>
      <c r="B55" s="25">
        <v>1003</v>
      </c>
      <c r="C55" s="10">
        <v>15</v>
      </c>
      <c r="D55" s="10">
        <v>30</v>
      </c>
      <c r="E55" s="10">
        <v>4007</v>
      </c>
      <c r="F55" s="19">
        <v>2</v>
      </c>
      <c r="G55" s="10">
        <v>4021</v>
      </c>
      <c r="H55" s="19">
        <v>2</v>
      </c>
      <c r="I55" s="10">
        <v>4033</v>
      </c>
      <c r="J55" s="19">
        <v>2</v>
      </c>
      <c r="K55" s="6" t="s">
        <v>62</v>
      </c>
    </row>
    <row r="56" spans="1:11">
      <c r="A56" s="12">
        <v>5052</v>
      </c>
      <c r="B56" s="25">
        <v>1004</v>
      </c>
      <c r="C56" s="10">
        <v>20</v>
      </c>
      <c r="D56" s="10">
        <v>40</v>
      </c>
      <c r="E56" s="10">
        <v>4008</v>
      </c>
      <c r="F56" s="19">
        <v>2</v>
      </c>
      <c r="G56" s="10">
        <v>4021</v>
      </c>
      <c r="H56" s="19">
        <v>5</v>
      </c>
      <c r="I56" s="10">
        <v>4033</v>
      </c>
      <c r="J56" s="19">
        <v>5</v>
      </c>
      <c r="K56" s="6" t="s">
        <v>63</v>
      </c>
    </row>
    <row r="57" spans="1:11">
      <c r="A57" s="12">
        <v>5053</v>
      </c>
      <c r="B57" s="25">
        <v>1005</v>
      </c>
      <c r="C57" s="10">
        <v>25</v>
      </c>
      <c r="D57" s="10">
        <v>50</v>
      </c>
      <c r="E57" s="10">
        <v>4009</v>
      </c>
      <c r="F57" s="19">
        <v>2</v>
      </c>
      <c r="G57" s="10">
        <v>4013</v>
      </c>
      <c r="H57" s="19">
        <v>2</v>
      </c>
      <c r="I57" s="10">
        <v>4031</v>
      </c>
      <c r="J57" s="19">
        <v>2</v>
      </c>
      <c r="K57" s="6" t="s">
        <v>64</v>
      </c>
    </row>
    <row r="58" spans="1:11">
      <c r="A58" s="12">
        <v>5054</v>
      </c>
      <c r="B58" s="25">
        <v>1006</v>
      </c>
      <c r="C58" s="10">
        <v>30</v>
      </c>
      <c r="D58" s="10">
        <v>60</v>
      </c>
      <c r="E58" s="10">
        <v>4010</v>
      </c>
      <c r="F58" s="19">
        <v>2</v>
      </c>
      <c r="G58" s="10">
        <v>4013</v>
      </c>
      <c r="H58" s="19">
        <v>5</v>
      </c>
      <c r="I58" s="10">
        <v>4031</v>
      </c>
      <c r="J58" s="19">
        <v>5</v>
      </c>
      <c r="K58" s="6" t="s">
        <v>65</v>
      </c>
    </row>
    <row r="59" spans="1:11">
      <c r="A59" s="12">
        <v>5055</v>
      </c>
      <c r="B59" s="25">
        <v>1102</v>
      </c>
      <c r="C59" s="10">
        <v>10</v>
      </c>
      <c r="D59" s="10">
        <v>20</v>
      </c>
      <c r="E59" s="10">
        <v>4006</v>
      </c>
      <c r="F59" s="19">
        <v>2</v>
      </c>
      <c r="G59" s="10">
        <v>4014</v>
      </c>
      <c r="H59" s="19">
        <v>5</v>
      </c>
      <c r="I59" s="10">
        <v>4032</v>
      </c>
      <c r="J59" s="19">
        <v>5</v>
      </c>
      <c r="K59" s="6" t="s">
        <v>66</v>
      </c>
    </row>
    <row r="60" spans="1:11">
      <c r="A60" s="12">
        <v>5056</v>
      </c>
      <c r="B60" s="25">
        <v>1103</v>
      </c>
      <c r="C60" s="10">
        <v>15</v>
      </c>
      <c r="D60" s="10">
        <v>30</v>
      </c>
      <c r="E60" s="10">
        <v>4007</v>
      </c>
      <c r="F60" s="19">
        <v>2</v>
      </c>
      <c r="G60" s="10">
        <v>4024</v>
      </c>
      <c r="H60" s="19">
        <v>2</v>
      </c>
      <c r="I60" s="10">
        <v>4036</v>
      </c>
      <c r="J60" s="19">
        <v>2</v>
      </c>
      <c r="K60" s="6" t="s">
        <v>67</v>
      </c>
    </row>
    <row r="61" spans="1:11">
      <c r="A61" s="12">
        <v>5057</v>
      </c>
      <c r="B61" s="25">
        <v>1104</v>
      </c>
      <c r="C61" s="10">
        <v>20</v>
      </c>
      <c r="D61" s="10">
        <v>40</v>
      </c>
      <c r="E61" s="10">
        <v>4008</v>
      </c>
      <c r="F61" s="19">
        <v>2</v>
      </c>
      <c r="G61" s="10">
        <v>4024</v>
      </c>
      <c r="H61" s="19">
        <v>5</v>
      </c>
      <c r="I61" s="10">
        <v>4036</v>
      </c>
      <c r="J61" s="19">
        <v>5</v>
      </c>
      <c r="K61" s="6" t="s">
        <v>68</v>
      </c>
    </row>
    <row r="62" spans="1:11">
      <c r="A62" s="12">
        <v>5058</v>
      </c>
      <c r="B62" s="25">
        <v>1105</v>
      </c>
      <c r="C62" s="10">
        <v>25</v>
      </c>
      <c r="D62" s="10">
        <v>50</v>
      </c>
      <c r="E62" s="10">
        <v>4009</v>
      </c>
      <c r="F62" s="19">
        <v>2</v>
      </c>
      <c r="G62" s="10">
        <v>4016</v>
      </c>
      <c r="H62" s="19">
        <v>2</v>
      </c>
      <c r="I62" s="10">
        <v>4034</v>
      </c>
      <c r="J62" s="19">
        <v>2</v>
      </c>
      <c r="K62" s="6" t="s">
        <v>69</v>
      </c>
    </row>
    <row r="63" spans="1:11">
      <c r="A63" s="12">
        <v>5059</v>
      </c>
      <c r="B63" s="25">
        <v>1106</v>
      </c>
      <c r="C63" s="10">
        <v>30</v>
      </c>
      <c r="D63" s="10">
        <v>60</v>
      </c>
      <c r="E63" s="10">
        <v>4010</v>
      </c>
      <c r="F63" s="19">
        <v>2</v>
      </c>
      <c r="G63" s="10">
        <v>4016</v>
      </c>
      <c r="H63" s="19">
        <v>5</v>
      </c>
      <c r="I63" s="10">
        <v>4034</v>
      </c>
      <c r="J63" s="19">
        <v>5</v>
      </c>
      <c r="K63" s="6" t="s">
        <v>70</v>
      </c>
    </row>
    <row r="64" spans="1:11">
      <c r="A64" s="12">
        <v>5060</v>
      </c>
      <c r="B64" s="25">
        <v>1202</v>
      </c>
      <c r="C64" s="10">
        <v>10</v>
      </c>
      <c r="D64" s="10">
        <v>20</v>
      </c>
      <c r="E64" s="10">
        <v>4006</v>
      </c>
      <c r="F64" s="19">
        <v>2</v>
      </c>
      <c r="G64" s="10">
        <v>4017</v>
      </c>
      <c r="H64" s="19">
        <v>5</v>
      </c>
      <c r="I64" s="10">
        <v>4035</v>
      </c>
      <c r="J64" s="19">
        <v>5</v>
      </c>
      <c r="K64" s="6" t="s">
        <v>71</v>
      </c>
    </row>
    <row r="65" spans="1:11">
      <c r="A65" s="12">
        <v>5061</v>
      </c>
      <c r="B65" s="25">
        <v>1203</v>
      </c>
      <c r="C65" s="10">
        <v>15</v>
      </c>
      <c r="D65" s="10">
        <v>30</v>
      </c>
      <c r="E65" s="10">
        <v>4007</v>
      </c>
      <c r="F65" s="19">
        <v>2</v>
      </c>
      <c r="G65" s="10">
        <v>4027</v>
      </c>
      <c r="H65" s="19">
        <v>2</v>
      </c>
      <c r="I65" s="10">
        <v>4039</v>
      </c>
      <c r="J65" s="19">
        <v>2</v>
      </c>
      <c r="K65" s="6" t="s">
        <v>72</v>
      </c>
    </row>
    <row r="66" spans="1:11">
      <c r="A66" s="12">
        <v>5062</v>
      </c>
      <c r="B66" s="25">
        <v>1204</v>
      </c>
      <c r="C66" s="10">
        <v>20</v>
      </c>
      <c r="D66" s="10">
        <v>40</v>
      </c>
      <c r="E66" s="10">
        <v>4008</v>
      </c>
      <c r="F66" s="19">
        <v>2</v>
      </c>
      <c r="G66" s="10">
        <v>4027</v>
      </c>
      <c r="H66" s="19">
        <v>5</v>
      </c>
      <c r="I66" s="10">
        <v>4039</v>
      </c>
      <c r="J66" s="19">
        <v>5</v>
      </c>
      <c r="K66" s="6" t="s">
        <v>73</v>
      </c>
    </row>
    <row r="67" spans="1:11">
      <c r="A67" s="12">
        <v>5063</v>
      </c>
      <c r="B67" s="25">
        <v>1205</v>
      </c>
      <c r="C67" s="10">
        <v>25</v>
      </c>
      <c r="D67" s="10">
        <v>50</v>
      </c>
      <c r="E67" s="10">
        <v>4009</v>
      </c>
      <c r="F67" s="19">
        <v>2</v>
      </c>
      <c r="G67" s="10">
        <v>4019</v>
      </c>
      <c r="H67" s="19">
        <v>2</v>
      </c>
      <c r="I67" s="10">
        <v>4037</v>
      </c>
      <c r="J67" s="19">
        <v>2</v>
      </c>
      <c r="K67" s="6" t="s">
        <v>74</v>
      </c>
    </row>
    <row r="68" spans="1:11">
      <c r="A68" s="12">
        <v>5064</v>
      </c>
      <c r="B68" s="25">
        <v>1206</v>
      </c>
      <c r="C68" s="10">
        <v>30</v>
      </c>
      <c r="D68" s="10">
        <v>60</v>
      </c>
      <c r="E68" s="10">
        <v>4010</v>
      </c>
      <c r="F68" s="19">
        <v>2</v>
      </c>
      <c r="G68" s="10">
        <v>4019</v>
      </c>
      <c r="H68" s="19">
        <v>5</v>
      </c>
      <c r="I68" s="10">
        <v>4037</v>
      </c>
      <c r="J68" s="19">
        <v>5</v>
      </c>
      <c r="K68" s="6" t="s">
        <v>75</v>
      </c>
    </row>
    <row r="69" spans="1:11">
      <c r="A69" s="12">
        <v>5065</v>
      </c>
      <c r="B69" s="25">
        <v>2002</v>
      </c>
      <c r="C69" s="10">
        <v>20</v>
      </c>
      <c r="D69" s="10">
        <v>40</v>
      </c>
      <c r="E69" s="10">
        <v>4008</v>
      </c>
      <c r="F69" s="19">
        <v>2</v>
      </c>
      <c r="G69" s="10">
        <v>4012</v>
      </c>
      <c r="H69" s="19">
        <v>5</v>
      </c>
      <c r="I69" s="10">
        <v>4030</v>
      </c>
      <c r="J69" s="19">
        <v>5</v>
      </c>
      <c r="K69" s="6" t="s">
        <v>76</v>
      </c>
    </row>
    <row r="70" spans="1:11">
      <c r="A70" s="12">
        <v>5066</v>
      </c>
      <c r="B70" s="25">
        <v>2003</v>
      </c>
      <c r="C70" s="10">
        <v>30</v>
      </c>
      <c r="D70" s="10">
        <v>60</v>
      </c>
      <c r="E70" s="10">
        <v>4010</v>
      </c>
      <c r="F70" s="19">
        <v>2</v>
      </c>
      <c r="G70" s="10">
        <v>4013</v>
      </c>
      <c r="H70" s="19">
        <v>5</v>
      </c>
      <c r="I70" s="10">
        <v>4031</v>
      </c>
      <c r="J70" s="19">
        <v>5</v>
      </c>
      <c r="K70" s="6" t="s">
        <v>77</v>
      </c>
    </row>
    <row r="71" spans="1:11">
      <c r="A71" s="12">
        <v>5067</v>
      </c>
      <c r="B71" s="25">
        <v>2102</v>
      </c>
      <c r="C71" s="10">
        <v>20</v>
      </c>
      <c r="D71" s="10">
        <v>40</v>
      </c>
      <c r="E71" s="10">
        <v>4008</v>
      </c>
      <c r="F71" s="19">
        <v>2</v>
      </c>
      <c r="G71" s="10">
        <v>4015</v>
      </c>
      <c r="H71" s="19">
        <v>5</v>
      </c>
      <c r="I71" s="10">
        <v>4030</v>
      </c>
      <c r="J71" s="19">
        <v>5</v>
      </c>
      <c r="K71" s="6" t="s">
        <v>78</v>
      </c>
    </row>
    <row r="72" spans="1:11">
      <c r="A72" s="12">
        <v>5068</v>
      </c>
      <c r="B72" s="25">
        <v>2103</v>
      </c>
      <c r="C72" s="10">
        <v>30</v>
      </c>
      <c r="D72" s="10">
        <v>60</v>
      </c>
      <c r="E72" s="10">
        <v>4010</v>
      </c>
      <c r="F72" s="19">
        <v>2</v>
      </c>
      <c r="G72" s="10">
        <v>4016</v>
      </c>
      <c r="H72" s="19">
        <v>5</v>
      </c>
      <c r="I72" s="10">
        <v>4031</v>
      </c>
      <c r="J72" s="19">
        <v>5</v>
      </c>
      <c r="K72" s="6" t="s">
        <v>79</v>
      </c>
    </row>
    <row r="73" spans="1:11">
      <c r="A73" s="12">
        <v>5069</v>
      </c>
      <c r="B73" s="25">
        <v>2202</v>
      </c>
      <c r="C73" s="10">
        <v>20</v>
      </c>
      <c r="D73" s="10">
        <v>40</v>
      </c>
      <c r="E73" s="10">
        <v>4008</v>
      </c>
      <c r="F73" s="19">
        <v>2</v>
      </c>
      <c r="G73" s="10">
        <v>4018</v>
      </c>
      <c r="H73" s="19">
        <v>5</v>
      </c>
      <c r="I73" s="10">
        <v>4033</v>
      </c>
      <c r="J73" s="19">
        <v>5</v>
      </c>
      <c r="K73" s="6" t="s">
        <v>80</v>
      </c>
    </row>
    <row r="74" spans="1:11">
      <c r="A74" s="12">
        <v>5070</v>
      </c>
      <c r="B74" s="25">
        <v>2203</v>
      </c>
      <c r="C74" s="10">
        <v>30</v>
      </c>
      <c r="D74" s="10">
        <v>60</v>
      </c>
      <c r="E74" s="10">
        <v>4010</v>
      </c>
      <c r="F74" s="19">
        <v>2</v>
      </c>
      <c r="G74" s="10">
        <v>4019</v>
      </c>
      <c r="H74" s="19">
        <v>5</v>
      </c>
      <c r="I74" s="10">
        <v>4034</v>
      </c>
      <c r="J74" s="19">
        <v>5</v>
      </c>
      <c r="K74" s="6" t="s">
        <v>81</v>
      </c>
    </row>
    <row r="75" spans="1:11">
      <c r="A75" s="12">
        <v>5071</v>
      </c>
      <c r="B75" s="25">
        <v>2302</v>
      </c>
      <c r="C75" s="10">
        <v>20</v>
      </c>
      <c r="D75" s="10">
        <v>40</v>
      </c>
      <c r="E75" s="10">
        <v>4008</v>
      </c>
      <c r="F75" s="19">
        <v>2</v>
      </c>
      <c r="G75" s="10">
        <v>4021</v>
      </c>
      <c r="H75" s="19">
        <v>5</v>
      </c>
      <c r="I75" s="10">
        <v>4036</v>
      </c>
      <c r="J75" s="19">
        <v>5</v>
      </c>
      <c r="K75" s="6" t="s">
        <v>82</v>
      </c>
    </row>
    <row r="76" spans="1:11">
      <c r="A76" s="12">
        <v>5072</v>
      </c>
      <c r="B76" s="25">
        <v>2303</v>
      </c>
      <c r="C76" s="10">
        <v>30</v>
      </c>
      <c r="D76" s="10">
        <v>60</v>
      </c>
      <c r="E76" s="10">
        <v>4010</v>
      </c>
      <c r="F76" s="19">
        <v>2</v>
      </c>
      <c r="G76" s="10">
        <v>4022</v>
      </c>
      <c r="H76" s="19">
        <v>5</v>
      </c>
      <c r="I76" s="10">
        <v>4037</v>
      </c>
      <c r="J76" s="19">
        <v>5</v>
      </c>
      <c r="K76" s="6" t="s">
        <v>83</v>
      </c>
    </row>
    <row r="77" spans="1:11">
      <c r="A77" s="12">
        <v>5073</v>
      </c>
      <c r="B77" s="25">
        <v>2402</v>
      </c>
      <c r="C77" s="10">
        <v>20</v>
      </c>
      <c r="D77" s="10">
        <v>40</v>
      </c>
      <c r="E77" s="10">
        <v>4008</v>
      </c>
      <c r="F77" s="19">
        <v>2</v>
      </c>
      <c r="G77" s="10">
        <v>4024</v>
      </c>
      <c r="H77" s="19">
        <v>5</v>
      </c>
      <c r="I77" s="10">
        <v>4036</v>
      </c>
      <c r="J77" s="19">
        <v>5</v>
      </c>
      <c r="K77" s="6" t="s">
        <v>84</v>
      </c>
    </row>
    <row r="78" spans="1:11">
      <c r="A78" s="12">
        <v>5074</v>
      </c>
      <c r="B78" s="25">
        <v>2403</v>
      </c>
      <c r="C78" s="10">
        <v>30</v>
      </c>
      <c r="D78" s="10">
        <v>60</v>
      </c>
      <c r="E78" s="10">
        <v>4010</v>
      </c>
      <c r="F78" s="19">
        <v>2</v>
      </c>
      <c r="G78" s="10">
        <v>4025</v>
      </c>
      <c r="H78" s="19">
        <v>5</v>
      </c>
      <c r="I78" s="10">
        <v>4037</v>
      </c>
      <c r="J78" s="19">
        <v>5</v>
      </c>
      <c r="K78" s="6" t="s">
        <v>85</v>
      </c>
    </row>
    <row r="79" spans="1:11">
      <c r="A79" s="12">
        <v>5075</v>
      </c>
      <c r="B79" s="25">
        <v>2502</v>
      </c>
      <c r="C79" s="10">
        <v>20</v>
      </c>
      <c r="D79" s="10">
        <v>40</v>
      </c>
      <c r="E79" s="10">
        <v>4008</v>
      </c>
      <c r="F79" s="19">
        <v>2</v>
      </c>
      <c r="G79" s="10">
        <v>4027</v>
      </c>
      <c r="H79" s="19">
        <v>5</v>
      </c>
      <c r="I79" s="10">
        <v>4039</v>
      </c>
      <c r="J79" s="19">
        <v>5</v>
      </c>
      <c r="K79" s="6" t="s">
        <v>86</v>
      </c>
    </row>
    <row r="80" spans="1:11">
      <c r="A80" s="12">
        <v>5076</v>
      </c>
      <c r="B80" s="25">
        <v>2503</v>
      </c>
      <c r="C80" s="10">
        <v>30</v>
      </c>
      <c r="D80" s="10">
        <v>60</v>
      </c>
      <c r="E80" s="10">
        <v>4010</v>
      </c>
      <c r="F80" s="19">
        <v>2</v>
      </c>
      <c r="G80" s="10">
        <v>4028</v>
      </c>
      <c r="H80" s="19">
        <v>5</v>
      </c>
      <c r="I80" s="10">
        <v>4040</v>
      </c>
      <c r="J80" s="19">
        <v>5</v>
      </c>
      <c r="K80" s="6" t="s">
        <v>87</v>
      </c>
    </row>
  </sheetData>
  <autoFilter ref="A4:K4" xr:uid="{C57426E0-7E81-5147-B530-430E2F0FD9E9}"/>
  <phoneticPr fontId="1" type="noConversion"/>
  <conditionalFormatting sqref="A9:A80">
    <cfRule type="expression" dxfId="557" priority="613">
      <formula>$B9="Recipes"</formula>
    </cfRule>
    <cfRule type="expression" dxfId="556" priority="614">
      <formula>$B9="Material"</formula>
    </cfRule>
    <cfRule type="expression" dxfId="555" priority="615">
      <formula>$B9="Consumables"</formula>
    </cfRule>
    <cfRule type="expression" dxfId="554" priority="616">
      <formula>$B9="Accessory"</formula>
    </cfRule>
    <cfRule type="expression" dxfId="553" priority="617">
      <formula>$B9="Armor"</formula>
    </cfRule>
    <cfRule type="expression" dxfId="552" priority="618">
      <formula>$B9 = "Weapon"</formula>
    </cfRule>
  </conditionalFormatting>
  <conditionalFormatting sqref="K9:K80">
    <cfRule type="expression" dxfId="551" priority="607">
      <formula>$B9="Recipes"</formula>
    </cfRule>
    <cfRule type="expression" dxfId="550" priority="608">
      <formula>$B9="Material"</formula>
    </cfRule>
    <cfRule type="expression" dxfId="549" priority="609">
      <formula>$B9="Consumables"</formula>
    </cfRule>
    <cfRule type="expression" dxfId="548" priority="610">
      <formula>$B9="Accessory"</formula>
    </cfRule>
    <cfRule type="expression" dxfId="547" priority="611">
      <formula>$B9="Armor"</formula>
    </cfRule>
    <cfRule type="expression" dxfId="546" priority="612">
      <formula>$B9 = "Weapon"</formula>
    </cfRule>
  </conditionalFormatting>
  <conditionalFormatting sqref="K42">
    <cfRule type="expression" dxfId="545" priority="487">
      <formula>$B42="Recipes"</formula>
    </cfRule>
    <cfRule type="expression" dxfId="544" priority="488">
      <formula>$B42="Material"</formula>
    </cfRule>
    <cfRule type="expression" dxfId="543" priority="489">
      <formula>$B42="Consumables"</formula>
    </cfRule>
    <cfRule type="expression" dxfId="542" priority="490">
      <formula>$B42="Accessory"</formula>
    </cfRule>
    <cfRule type="expression" dxfId="541" priority="491">
      <formula>$B42="Armor"</formula>
    </cfRule>
    <cfRule type="expression" dxfId="540" priority="492">
      <formula>$B42 = "Weapon"</formula>
    </cfRule>
  </conditionalFormatting>
  <conditionalFormatting sqref="K71:K72 K29:K33">
    <cfRule type="expression" dxfId="539" priority="565">
      <formula>$B34="Recipes"</formula>
    </cfRule>
    <cfRule type="expression" dxfId="538" priority="566">
      <formula>$B34="Material"</formula>
    </cfRule>
    <cfRule type="expression" dxfId="537" priority="567">
      <formula>$B34="Consumables"</formula>
    </cfRule>
    <cfRule type="expression" dxfId="536" priority="568">
      <formula>$B34="Accessory"</formula>
    </cfRule>
    <cfRule type="expression" dxfId="535" priority="569">
      <formula>$B34="Armor"</formula>
    </cfRule>
    <cfRule type="expression" dxfId="534" priority="570">
      <formula>$B34 = "Weapon"</formula>
    </cfRule>
  </conditionalFormatting>
  <conditionalFormatting sqref="K34 K38 K73:K74">
    <cfRule type="expression" dxfId="533" priority="559">
      <formula>$B40="Recipes"</formula>
    </cfRule>
    <cfRule type="expression" dxfId="532" priority="560">
      <formula>$B40="Material"</formula>
    </cfRule>
    <cfRule type="expression" dxfId="531" priority="561">
      <formula>$B40="Consumables"</formula>
    </cfRule>
    <cfRule type="expression" dxfId="530" priority="562">
      <formula>$B40="Accessory"</formula>
    </cfRule>
    <cfRule type="expression" dxfId="529" priority="563">
      <formula>$B40="Armor"</formula>
    </cfRule>
    <cfRule type="expression" dxfId="528" priority="564">
      <formula>$B40 = "Weapon"</formula>
    </cfRule>
  </conditionalFormatting>
  <conditionalFormatting sqref="K35:K37">
    <cfRule type="expression" dxfId="527" priority="553">
      <formula>$B41="Recipes"</formula>
    </cfRule>
    <cfRule type="expression" dxfId="526" priority="554">
      <formula>$B41="Material"</formula>
    </cfRule>
    <cfRule type="expression" dxfId="525" priority="555">
      <formula>$B41="Consumables"</formula>
    </cfRule>
    <cfRule type="expression" dxfId="524" priority="556">
      <formula>$B41="Accessory"</formula>
    </cfRule>
    <cfRule type="expression" dxfId="523" priority="557">
      <formula>$B41="Armor"</formula>
    </cfRule>
    <cfRule type="expression" dxfId="522" priority="558">
      <formula>$B41 = "Weapon"</formula>
    </cfRule>
  </conditionalFormatting>
  <conditionalFormatting sqref="K39 K43 K75:K76">
    <cfRule type="expression" dxfId="521" priority="547">
      <formula>$B46="Recipes"</formula>
    </cfRule>
    <cfRule type="expression" dxfId="520" priority="548">
      <formula>$B46="Material"</formula>
    </cfRule>
    <cfRule type="expression" dxfId="519" priority="549">
      <formula>$B46="Consumables"</formula>
    </cfRule>
    <cfRule type="expression" dxfId="518" priority="550">
      <formula>$B46="Accessory"</formula>
    </cfRule>
    <cfRule type="expression" dxfId="517" priority="551">
      <formula>$B46="Armor"</formula>
    </cfRule>
    <cfRule type="expression" dxfId="516" priority="552">
      <formula>$B46 = "Weapon"</formula>
    </cfRule>
  </conditionalFormatting>
  <conditionalFormatting sqref="K40">
    <cfRule type="expression" dxfId="515" priority="541">
      <formula>$B47="Recipes"</formula>
    </cfRule>
    <cfRule type="expression" dxfId="514" priority="542">
      <formula>$B47="Material"</formula>
    </cfRule>
    <cfRule type="expression" dxfId="513" priority="543">
      <formula>$B47="Consumables"</formula>
    </cfRule>
    <cfRule type="expression" dxfId="512" priority="544">
      <formula>$B47="Accessory"</formula>
    </cfRule>
    <cfRule type="expression" dxfId="511" priority="545">
      <formula>$B47="Armor"</formula>
    </cfRule>
    <cfRule type="expression" dxfId="510" priority="546">
      <formula>$B47 = "Weapon"</formula>
    </cfRule>
  </conditionalFormatting>
  <conditionalFormatting sqref="K41">
    <cfRule type="expression" dxfId="509" priority="535">
      <formula>$B48="Recipes"</formula>
    </cfRule>
    <cfRule type="expression" dxfId="508" priority="536">
      <formula>$B48="Material"</formula>
    </cfRule>
    <cfRule type="expression" dxfId="507" priority="537">
      <formula>$B48="Consumables"</formula>
    </cfRule>
    <cfRule type="expression" dxfId="506" priority="538">
      <formula>$B48="Accessory"</formula>
    </cfRule>
    <cfRule type="expression" dxfId="505" priority="539">
      <formula>$B48="Armor"</formula>
    </cfRule>
    <cfRule type="expression" dxfId="504" priority="540">
      <formula>$B48 = "Weapon"</formula>
    </cfRule>
  </conditionalFormatting>
  <conditionalFormatting sqref="K42">
    <cfRule type="expression" dxfId="503" priority="529">
      <formula>$B49="Recipes"</formula>
    </cfRule>
    <cfRule type="expression" dxfId="502" priority="530">
      <formula>$B49="Material"</formula>
    </cfRule>
    <cfRule type="expression" dxfId="501" priority="531">
      <formula>$B49="Consumables"</formula>
    </cfRule>
    <cfRule type="expression" dxfId="500" priority="532">
      <formula>$B49="Accessory"</formula>
    </cfRule>
    <cfRule type="expression" dxfId="499" priority="533">
      <formula>$B49="Armor"</formula>
    </cfRule>
    <cfRule type="expression" dxfId="498" priority="534">
      <formula>$B49 = "Weapon"</formula>
    </cfRule>
  </conditionalFormatting>
  <conditionalFormatting sqref="K44:K48 K77:K78">
    <cfRule type="expression" dxfId="497" priority="571">
      <formula>$B52="Recipes"</formula>
    </cfRule>
    <cfRule type="expression" dxfId="496" priority="572">
      <formula>$B52="Material"</formula>
    </cfRule>
    <cfRule type="expression" dxfId="495" priority="573">
      <formula>$B52="Consumables"</formula>
    </cfRule>
    <cfRule type="expression" dxfId="494" priority="574">
      <formula>$B52="Accessory"</formula>
    </cfRule>
    <cfRule type="expression" dxfId="493" priority="575">
      <formula>$B52="Armor"</formula>
    </cfRule>
    <cfRule type="expression" dxfId="492" priority="576">
      <formula>$B52 = "Weapon"</formula>
    </cfRule>
  </conditionalFormatting>
  <conditionalFormatting sqref="K49:K53 K79:K80">
    <cfRule type="expression" dxfId="491" priority="577">
      <formula>$B58="Recipes"</formula>
    </cfRule>
    <cfRule type="expression" dxfId="490" priority="578">
      <formula>$B58="Material"</formula>
    </cfRule>
    <cfRule type="expression" dxfId="489" priority="579">
      <formula>$B58="Consumables"</formula>
    </cfRule>
    <cfRule type="expression" dxfId="488" priority="580">
      <formula>$B58="Accessory"</formula>
    </cfRule>
    <cfRule type="expression" dxfId="487" priority="581">
      <formula>$B58="Armor"</formula>
    </cfRule>
    <cfRule type="expression" dxfId="486" priority="582">
      <formula>$B58 = "Weapon"</formula>
    </cfRule>
  </conditionalFormatting>
  <conditionalFormatting sqref="K54:K58">
    <cfRule type="expression" dxfId="485" priority="583">
      <formula>$B55="Recipes"</formula>
    </cfRule>
    <cfRule type="expression" dxfId="484" priority="584">
      <formula>$B55="Material"</formula>
    </cfRule>
    <cfRule type="expression" dxfId="483" priority="585">
      <formula>$B55="Consumables"</formula>
    </cfRule>
    <cfRule type="expression" dxfId="482" priority="586">
      <formula>$B55="Accessory"</formula>
    </cfRule>
    <cfRule type="expression" dxfId="481" priority="587">
      <formula>$B55="Armor"</formula>
    </cfRule>
    <cfRule type="expression" dxfId="480" priority="588">
      <formula>$B55 = "Weapon"</formula>
    </cfRule>
  </conditionalFormatting>
  <conditionalFormatting sqref="K59:K63">
    <cfRule type="expression" dxfId="479" priority="589">
      <formula>$B61="Recipes"</formula>
    </cfRule>
    <cfRule type="expression" dxfId="478" priority="590">
      <formula>$B61="Material"</formula>
    </cfRule>
    <cfRule type="expression" dxfId="477" priority="591">
      <formula>$B61="Consumables"</formula>
    </cfRule>
    <cfRule type="expression" dxfId="476" priority="592">
      <formula>$B61="Accessory"</formula>
    </cfRule>
    <cfRule type="expression" dxfId="475" priority="593">
      <formula>$B61="Armor"</formula>
    </cfRule>
    <cfRule type="expression" dxfId="474" priority="594">
      <formula>$B61 = "Weapon"</formula>
    </cfRule>
  </conditionalFormatting>
  <conditionalFormatting sqref="K64:K68">
    <cfRule type="expression" dxfId="473" priority="595">
      <formula>$B67="Recipes"</formula>
    </cfRule>
    <cfRule type="expression" dxfId="472" priority="596">
      <formula>$B67="Material"</formula>
    </cfRule>
    <cfRule type="expression" dxfId="471" priority="597">
      <formula>$B67="Consumables"</formula>
    </cfRule>
    <cfRule type="expression" dxfId="470" priority="598">
      <formula>$B67="Accessory"</formula>
    </cfRule>
    <cfRule type="expression" dxfId="469" priority="599">
      <formula>$B67="Armor"</formula>
    </cfRule>
    <cfRule type="expression" dxfId="468" priority="600">
      <formula>$B67 = "Weapon"</formula>
    </cfRule>
  </conditionalFormatting>
  <conditionalFormatting sqref="K69:K70">
    <cfRule type="expression" dxfId="467" priority="601">
      <formula>$B73="Recipes"</formula>
    </cfRule>
    <cfRule type="expression" dxfId="466" priority="602">
      <formula>$B73="Material"</formula>
    </cfRule>
    <cfRule type="expression" dxfId="465" priority="603">
      <formula>$B73="Consumables"</formula>
    </cfRule>
    <cfRule type="expression" dxfId="464" priority="604">
      <formula>$B73="Accessory"</formula>
    </cfRule>
    <cfRule type="expression" dxfId="463" priority="605">
      <formula>$B73="Armor"</formula>
    </cfRule>
    <cfRule type="expression" dxfId="462" priority="606">
      <formula>$B73 = "Weapon"</formula>
    </cfRule>
  </conditionalFormatting>
  <conditionalFormatting sqref="K43:K53 K38 K29:K33">
    <cfRule type="expression" dxfId="461" priority="523">
      <formula>$B29="Recipes"</formula>
    </cfRule>
    <cfRule type="expression" dxfId="460" priority="524">
      <formula>$B29="Material"</formula>
    </cfRule>
    <cfRule type="expression" dxfId="459" priority="525">
      <formula>$B29="Consumables"</formula>
    </cfRule>
    <cfRule type="expression" dxfId="458" priority="526">
      <formula>$B29="Accessory"</formula>
    </cfRule>
    <cfRule type="expression" dxfId="457" priority="527">
      <formula>$B29="Armor"</formula>
    </cfRule>
    <cfRule type="expression" dxfId="456" priority="528">
      <formula>$B29 = "Weapon"</formula>
    </cfRule>
  </conditionalFormatting>
  <conditionalFormatting sqref="K34">
    <cfRule type="expression" dxfId="455" priority="517">
      <formula>$B34="Recipes"</formula>
    </cfRule>
    <cfRule type="expression" dxfId="454" priority="518">
      <formula>$B34="Material"</formula>
    </cfRule>
    <cfRule type="expression" dxfId="453" priority="519">
      <formula>$B34="Consumables"</formula>
    </cfRule>
    <cfRule type="expression" dxfId="452" priority="520">
      <formula>$B34="Accessory"</formula>
    </cfRule>
    <cfRule type="expression" dxfId="451" priority="521">
      <formula>$B34="Armor"</formula>
    </cfRule>
    <cfRule type="expression" dxfId="450" priority="522">
      <formula>$B34 = "Weapon"</formula>
    </cfRule>
  </conditionalFormatting>
  <conditionalFormatting sqref="K35:K37">
    <cfRule type="expression" dxfId="449" priority="511">
      <formula>$B35="Recipes"</formula>
    </cfRule>
    <cfRule type="expression" dxfId="448" priority="512">
      <formula>$B35="Material"</formula>
    </cfRule>
    <cfRule type="expression" dxfId="447" priority="513">
      <formula>$B35="Consumables"</formula>
    </cfRule>
    <cfRule type="expression" dxfId="446" priority="514">
      <formula>$B35="Accessory"</formula>
    </cfRule>
    <cfRule type="expression" dxfId="445" priority="515">
      <formula>$B35="Armor"</formula>
    </cfRule>
    <cfRule type="expression" dxfId="444" priority="516">
      <formula>$B35 = "Weapon"</formula>
    </cfRule>
  </conditionalFormatting>
  <conditionalFormatting sqref="K39">
    <cfRule type="expression" dxfId="443" priority="505">
      <formula>$B39="Recipes"</formula>
    </cfRule>
    <cfRule type="expression" dxfId="442" priority="506">
      <formula>$B39="Material"</formula>
    </cfRule>
    <cfRule type="expression" dxfId="441" priority="507">
      <formula>$B39="Consumables"</formula>
    </cfRule>
    <cfRule type="expression" dxfId="440" priority="508">
      <formula>$B39="Accessory"</formula>
    </cfRule>
    <cfRule type="expression" dxfId="439" priority="509">
      <formula>$B39="Armor"</formula>
    </cfRule>
    <cfRule type="expression" dxfId="438" priority="510">
      <formula>$B39 = "Weapon"</formula>
    </cfRule>
  </conditionalFormatting>
  <conditionalFormatting sqref="K40">
    <cfRule type="expression" dxfId="437" priority="499">
      <formula>$B40="Recipes"</formula>
    </cfRule>
    <cfRule type="expression" dxfId="436" priority="500">
      <formula>$B40="Material"</formula>
    </cfRule>
    <cfRule type="expression" dxfId="435" priority="501">
      <formula>$B40="Consumables"</formula>
    </cfRule>
    <cfRule type="expression" dxfId="434" priority="502">
      <formula>$B40="Accessory"</formula>
    </cfRule>
    <cfRule type="expression" dxfId="433" priority="503">
      <formula>$B40="Armor"</formula>
    </cfRule>
    <cfRule type="expression" dxfId="432" priority="504">
      <formula>$B40 = "Weapon"</formula>
    </cfRule>
  </conditionalFormatting>
  <conditionalFormatting sqref="K41">
    <cfRule type="expression" dxfId="431" priority="493">
      <formula>$B41="Recipes"</formula>
    </cfRule>
    <cfRule type="expression" dxfId="430" priority="494">
      <formula>$B41="Material"</formula>
    </cfRule>
    <cfRule type="expression" dxfId="429" priority="495">
      <formula>$B41="Consumables"</formula>
    </cfRule>
    <cfRule type="expression" dxfId="428" priority="496">
      <formula>$B41="Accessory"</formula>
    </cfRule>
    <cfRule type="expression" dxfId="427" priority="497">
      <formula>$B41="Armor"</formula>
    </cfRule>
    <cfRule type="expression" dxfId="426" priority="498">
      <formula>$B41 = "Weapon"</formula>
    </cfRule>
  </conditionalFormatting>
  <conditionalFormatting sqref="C9:C80">
    <cfRule type="expression" dxfId="425" priority="355">
      <formula>$B9="Recipes"</formula>
    </cfRule>
    <cfRule type="expression" dxfId="424" priority="356">
      <formula>$B9="Material"</formula>
    </cfRule>
    <cfRule type="expression" dxfId="423" priority="357">
      <formula>$B9="Consumables"</formula>
    </cfRule>
    <cfRule type="expression" dxfId="422" priority="358">
      <formula>$B9="Accessory"</formula>
    </cfRule>
    <cfRule type="expression" dxfId="421" priority="359">
      <formula>$B9="Armor"</formula>
    </cfRule>
    <cfRule type="expression" dxfId="420" priority="360">
      <formula>$B9 = "Weapon"</formula>
    </cfRule>
  </conditionalFormatting>
  <conditionalFormatting sqref="C9:C14">
    <cfRule type="expression" dxfId="419" priority="421">
      <formula>$B9="Recipes"</formula>
    </cfRule>
    <cfRule type="expression" dxfId="418" priority="422">
      <formula>$B9="Material"</formula>
    </cfRule>
    <cfRule type="expression" dxfId="417" priority="423">
      <formula>$B9="Consumables"</formula>
    </cfRule>
    <cfRule type="expression" dxfId="416" priority="424">
      <formula>$B9="Accessory"</formula>
    </cfRule>
    <cfRule type="expression" dxfId="415" priority="425">
      <formula>$B9="Armor"</formula>
    </cfRule>
    <cfRule type="expression" dxfId="414" priority="426">
      <formula>$B9 = "Weapon"</formula>
    </cfRule>
  </conditionalFormatting>
  <conditionalFormatting sqref="C15 C32:C33 C21:C26 C39">
    <cfRule type="expression" dxfId="413" priority="415">
      <formula>$B15="Recipes"</formula>
    </cfRule>
    <cfRule type="expression" dxfId="412" priority="416">
      <formula>$B15="Material"</formula>
    </cfRule>
    <cfRule type="expression" dxfId="411" priority="417">
      <formula>$B15="Consumables"</formula>
    </cfRule>
    <cfRule type="expression" dxfId="410" priority="418">
      <formula>$B15="Accessory"</formula>
    </cfRule>
    <cfRule type="expression" dxfId="409" priority="419">
      <formula>$B15="Armor"</formula>
    </cfRule>
    <cfRule type="expression" dxfId="408" priority="420">
      <formula>$B15 = "Weapon"</formula>
    </cfRule>
  </conditionalFormatting>
  <conditionalFormatting sqref="C27">
    <cfRule type="expression" dxfId="407" priority="409">
      <formula>$B27="Recipes"</formula>
    </cfRule>
    <cfRule type="expression" dxfId="406" priority="410">
      <formula>$B27="Material"</formula>
    </cfRule>
    <cfRule type="expression" dxfId="405" priority="411">
      <formula>$B27="Consumables"</formula>
    </cfRule>
    <cfRule type="expression" dxfId="404" priority="412">
      <formula>$B27="Accessory"</formula>
    </cfRule>
    <cfRule type="expression" dxfId="403" priority="413">
      <formula>$B27="Armor"</formula>
    </cfRule>
    <cfRule type="expression" dxfId="402" priority="414">
      <formula>$B27 = "Weapon"</formula>
    </cfRule>
  </conditionalFormatting>
  <conditionalFormatting sqref="C28">
    <cfRule type="expression" dxfId="401" priority="403">
      <formula>$B28="Recipes"</formula>
    </cfRule>
    <cfRule type="expression" dxfId="400" priority="404">
      <formula>$B28="Material"</formula>
    </cfRule>
    <cfRule type="expression" dxfId="399" priority="405">
      <formula>$B28="Consumables"</formula>
    </cfRule>
    <cfRule type="expression" dxfId="398" priority="406">
      <formula>$B28="Accessory"</formula>
    </cfRule>
    <cfRule type="expression" dxfId="397" priority="407">
      <formula>$B28="Armor"</formula>
    </cfRule>
    <cfRule type="expression" dxfId="396" priority="408">
      <formula>$B28 = "Weapon"</formula>
    </cfRule>
  </conditionalFormatting>
  <conditionalFormatting sqref="C29">
    <cfRule type="expression" dxfId="395" priority="397">
      <formula>$B29="Recipes"</formula>
    </cfRule>
    <cfRule type="expression" dxfId="394" priority="398">
      <formula>$B29="Material"</formula>
    </cfRule>
    <cfRule type="expression" dxfId="393" priority="399">
      <formula>$B29="Consumables"</formula>
    </cfRule>
    <cfRule type="expression" dxfId="392" priority="400">
      <formula>$B29="Accessory"</formula>
    </cfRule>
    <cfRule type="expression" dxfId="391" priority="401">
      <formula>$B29="Armor"</formula>
    </cfRule>
    <cfRule type="expression" dxfId="390" priority="402">
      <formula>$B29 = "Weapon"</formula>
    </cfRule>
  </conditionalFormatting>
  <conditionalFormatting sqref="C30">
    <cfRule type="expression" dxfId="389" priority="391">
      <formula>$B30="Recipes"</formula>
    </cfRule>
    <cfRule type="expression" dxfId="388" priority="392">
      <formula>$B30="Material"</formula>
    </cfRule>
    <cfRule type="expression" dxfId="387" priority="393">
      <formula>$B30="Consumables"</formula>
    </cfRule>
    <cfRule type="expression" dxfId="386" priority="394">
      <formula>$B30="Accessory"</formula>
    </cfRule>
    <cfRule type="expression" dxfId="385" priority="395">
      <formula>$B30="Armor"</formula>
    </cfRule>
    <cfRule type="expression" dxfId="384" priority="396">
      <formula>$B30 = "Weapon"</formula>
    </cfRule>
  </conditionalFormatting>
  <conditionalFormatting sqref="C31">
    <cfRule type="expression" dxfId="383" priority="385">
      <formula>$B31="Recipes"</formula>
    </cfRule>
    <cfRule type="expression" dxfId="382" priority="386">
      <formula>$B31="Material"</formula>
    </cfRule>
    <cfRule type="expression" dxfId="381" priority="387">
      <formula>$B31="Consumables"</formula>
    </cfRule>
    <cfRule type="expression" dxfId="380" priority="388">
      <formula>$B31="Accessory"</formula>
    </cfRule>
    <cfRule type="expression" dxfId="379" priority="389">
      <formula>$B31="Armor"</formula>
    </cfRule>
    <cfRule type="expression" dxfId="378" priority="390">
      <formula>$B31 = "Weapon"</formula>
    </cfRule>
  </conditionalFormatting>
  <conditionalFormatting sqref="C16">
    <cfRule type="expression" dxfId="377" priority="379">
      <formula>$B16="Recipes"</formula>
    </cfRule>
    <cfRule type="expression" dxfId="376" priority="380">
      <formula>$B16="Material"</formula>
    </cfRule>
    <cfRule type="expression" dxfId="375" priority="381">
      <formula>$B16="Consumables"</formula>
    </cfRule>
    <cfRule type="expression" dxfId="374" priority="382">
      <formula>$B16="Accessory"</formula>
    </cfRule>
    <cfRule type="expression" dxfId="373" priority="383">
      <formula>$B16="Armor"</formula>
    </cfRule>
    <cfRule type="expression" dxfId="372" priority="384">
      <formula>$B16 = "Weapon"</formula>
    </cfRule>
  </conditionalFormatting>
  <conditionalFormatting sqref="C17">
    <cfRule type="expression" dxfId="371" priority="373">
      <formula>$B17="Recipes"</formula>
    </cfRule>
    <cfRule type="expression" dxfId="370" priority="374">
      <formula>$B17="Material"</formula>
    </cfRule>
    <cfRule type="expression" dxfId="369" priority="375">
      <formula>$B17="Consumables"</formula>
    </cfRule>
    <cfRule type="expression" dxfId="368" priority="376">
      <formula>$B17="Accessory"</formula>
    </cfRule>
    <cfRule type="expression" dxfId="367" priority="377">
      <formula>$B17="Armor"</formula>
    </cfRule>
    <cfRule type="expression" dxfId="366" priority="378">
      <formula>$B17 = "Weapon"</formula>
    </cfRule>
  </conditionalFormatting>
  <conditionalFormatting sqref="C18">
    <cfRule type="expression" dxfId="365" priority="367">
      <formula>$B18="Recipes"</formula>
    </cfRule>
    <cfRule type="expression" dxfId="364" priority="368">
      <formula>$B18="Material"</formula>
    </cfRule>
    <cfRule type="expression" dxfId="363" priority="369">
      <formula>$B18="Consumables"</formula>
    </cfRule>
    <cfRule type="expression" dxfId="362" priority="370">
      <formula>$B18="Accessory"</formula>
    </cfRule>
    <cfRule type="expression" dxfId="361" priority="371">
      <formula>$B18="Armor"</formula>
    </cfRule>
    <cfRule type="expression" dxfId="360" priority="372">
      <formula>$B18 = "Weapon"</formula>
    </cfRule>
  </conditionalFormatting>
  <conditionalFormatting sqref="C19">
    <cfRule type="expression" dxfId="359" priority="361">
      <formula>$B19="Recipes"</formula>
    </cfRule>
    <cfRule type="expression" dxfId="358" priority="362">
      <formula>$B19="Material"</formula>
    </cfRule>
    <cfRule type="expression" dxfId="357" priority="363">
      <formula>$B19="Consumables"</formula>
    </cfRule>
    <cfRule type="expression" dxfId="356" priority="364">
      <formula>$B19="Accessory"</formula>
    </cfRule>
    <cfRule type="expression" dxfId="355" priority="365">
      <formula>$B19="Armor"</formula>
    </cfRule>
    <cfRule type="expression" dxfId="354" priority="366">
      <formula>$B19 = "Weapon"</formula>
    </cfRule>
  </conditionalFormatting>
  <conditionalFormatting sqref="C20">
    <cfRule type="expression" dxfId="353" priority="349">
      <formula>$B20="Recipes"</formula>
    </cfRule>
    <cfRule type="expression" dxfId="352" priority="350">
      <formula>$B20="Material"</formula>
    </cfRule>
    <cfRule type="expression" dxfId="351" priority="351">
      <formula>$B20="Consumables"</formula>
    </cfRule>
    <cfRule type="expression" dxfId="350" priority="352">
      <formula>$B20="Accessory"</formula>
    </cfRule>
    <cfRule type="expression" dxfId="349" priority="353">
      <formula>$B20="Armor"</formula>
    </cfRule>
    <cfRule type="expression" dxfId="348" priority="354">
      <formula>$B20 = "Weapon"</formula>
    </cfRule>
  </conditionalFormatting>
  <conditionalFormatting sqref="C34">
    <cfRule type="expression" dxfId="347" priority="343">
      <formula>$B34="Recipes"</formula>
    </cfRule>
    <cfRule type="expression" dxfId="346" priority="344">
      <formula>$B34="Material"</formula>
    </cfRule>
    <cfRule type="expression" dxfId="345" priority="345">
      <formula>$B34="Consumables"</formula>
    </cfRule>
    <cfRule type="expression" dxfId="344" priority="346">
      <formula>$B34="Accessory"</formula>
    </cfRule>
    <cfRule type="expression" dxfId="343" priority="347">
      <formula>$B34="Armor"</formula>
    </cfRule>
    <cfRule type="expression" dxfId="342" priority="348">
      <formula>$B34 = "Weapon"</formula>
    </cfRule>
  </conditionalFormatting>
  <conditionalFormatting sqref="C35">
    <cfRule type="expression" dxfId="341" priority="337">
      <formula>$B35="Recipes"</formula>
    </cfRule>
    <cfRule type="expression" dxfId="340" priority="338">
      <formula>$B35="Material"</formula>
    </cfRule>
    <cfRule type="expression" dxfId="339" priority="339">
      <formula>$B35="Consumables"</formula>
    </cfRule>
    <cfRule type="expression" dxfId="338" priority="340">
      <formula>$B35="Accessory"</formula>
    </cfRule>
    <cfRule type="expression" dxfId="337" priority="341">
      <formula>$B35="Armor"</formula>
    </cfRule>
    <cfRule type="expression" dxfId="336" priority="342">
      <formula>$B35 = "Weapon"</formula>
    </cfRule>
  </conditionalFormatting>
  <conditionalFormatting sqref="C36">
    <cfRule type="expression" dxfId="335" priority="331">
      <formula>$B36="Recipes"</formula>
    </cfRule>
    <cfRule type="expression" dxfId="334" priority="332">
      <formula>$B36="Material"</formula>
    </cfRule>
    <cfRule type="expression" dxfId="333" priority="333">
      <formula>$B36="Consumables"</formula>
    </cfRule>
    <cfRule type="expression" dxfId="332" priority="334">
      <formula>$B36="Accessory"</formula>
    </cfRule>
    <cfRule type="expression" dxfId="331" priority="335">
      <formula>$B36="Armor"</formula>
    </cfRule>
    <cfRule type="expression" dxfId="330" priority="336">
      <formula>$B36 = "Weapon"</formula>
    </cfRule>
  </conditionalFormatting>
  <conditionalFormatting sqref="C37">
    <cfRule type="expression" dxfId="329" priority="325">
      <formula>$B37="Recipes"</formula>
    </cfRule>
    <cfRule type="expression" dxfId="328" priority="326">
      <formula>$B37="Material"</formula>
    </cfRule>
    <cfRule type="expression" dxfId="327" priority="327">
      <formula>$B37="Consumables"</formula>
    </cfRule>
    <cfRule type="expression" dxfId="326" priority="328">
      <formula>$B37="Accessory"</formula>
    </cfRule>
    <cfRule type="expression" dxfId="325" priority="329">
      <formula>$B37="Armor"</formula>
    </cfRule>
    <cfRule type="expression" dxfId="324" priority="330">
      <formula>$B37 = "Weapon"</formula>
    </cfRule>
  </conditionalFormatting>
  <conditionalFormatting sqref="C38">
    <cfRule type="expression" dxfId="323" priority="319">
      <formula>$B38="Recipes"</formula>
    </cfRule>
    <cfRule type="expression" dxfId="322" priority="320">
      <formula>$B38="Material"</formula>
    </cfRule>
    <cfRule type="expression" dxfId="321" priority="321">
      <formula>$B38="Consumables"</formula>
    </cfRule>
    <cfRule type="expression" dxfId="320" priority="322">
      <formula>$B38="Accessory"</formula>
    </cfRule>
    <cfRule type="expression" dxfId="319" priority="323">
      <formula>$B38="Armor"</formula>
    </cfRule>
    <cfRule type="expression" dxfId="318" priority="324">
      <formula>$B38 = "Weapon"</formula>
    </cfRule>
  </conditionalFormatting>
  <conditionalFormatting sqref="C40">
    <cfRule type="expression" dxfId="317" priority="313">
      <formula>$B40="Recipes"</formula>
    </cfRule>
    <cfRule type="expression" dxfId="316" priority="314">
      <formula>$B40="Material"</formula>
    </cfRule>
    <cfRule type="expression" dxfId="315" priority="315">
      <formula>$B40="Consumables"</formula>
    </cfRule>
    <cfRule type="expression" dxfId="314" priority="316">
      <formula>$B40="Accessory"</formula>
    </cfRule>
    <cfRule type="expression" dxfId="313" priority="317">
      <formula>$B40="Armor"</formula>
    </cfRule>
    <cfRule type="expression" dxfId="312" priority="318">
      <formula>$B40 = "Weapon"</formula>
    </cfRule>
  </conditionalFormatting>
  <conditionalFormatting sqref="C41">
    <cfRule type="expression" dxfId="311" priority="307">
      <formula>$B41="Recipes"</formula>
    </cfRule>
    <cfRule type="expression" dxfId="310" priority="308">
      <formula>$B41="Material"</formula>
    </cfRule>
    <cfRule type="expression" dxfId="309" priority="309">
      <formula>$B41="Consumables"</formula>
    </cfRule>
    <cfRule type="expression" dxfId="308" priority="310">
      <formula>$B41="Accessory"</formula>
    </cfRule>
    <cfRule type="expression" dxfId="307" priority="311">
      <formula>$B41="Armor"</formula>
    </cfRule>
    <cfRule type="expression" dxfId="306" priority="312">
      <formula>$B41 = "Weapon"</formula>
    </cfRule>
  </conditionalFormatting>
  <conditionalFormatting sqref="C42">
    <cfRule type="expression" dxfId="305" priority="301">
      <formula>$B42="Recipes"</formula>
    </cfRule>
    <cfRule type="expression" dxfId="304" priority="302">
      <formula>$B42="Material"</formula>
    </cfRule>
    <cfRule type="expression" dxfId="303" priority="303">
      <formula>$B42="Consumables"</formula>
    </cfRule>
    <cfRule type="expression" dxfId="302" priority="304">
      <formula>$B42="Accessory"</formula>
    </cfRule>
    <cfRule type="expression" dxfId="301" priority="305">
      <formula>$B42="Armor"</formula>
    </cfRule>
    <cfRule type="expression" dxfId="300" priority="306">
      <formula>$B42 = "Weapon"</formula>
    </cfRule>
  </conditionalFormatting>
  <conditionalFormatting sqref="C43">
    <cfRule type="expression" dxfId="299" priority="295">
      <formula>$B43="Recipes"</formula>
    </cfRule>
    <cfRule type="expression" dxfId="298" priority="296">
      <formula>$B43="Material"</formula>
    </cfRule>
    <cfRule type="expression" dxfId="297" priority="297">
      <formula>$B43="Consumables"</formula>
    </cfRule>
    <cfRule type="expression" dxfId="296" priority="298">
      <formula>$B43="Accessory"</formula>
    </cfRule>
    <cfRule type="expression" dxfId="295" priority="299">
      <formula>$B43="Armor"</formula>
    </cfRule>
    <cfRule type="expression" dxfId="294" priority="300">
      <formula>$B43 = "Weapon"</formula>
    </cfRule>
  </conditionalFormatting>
  <conditionalFormatting sqref="C44">
    <cfRule type="expression" dxfId="293" priority="289">
      <formula>$B44="Recipes"</formula>
    </cfRule>
    <cfRule type="expression" dxfId="292" priority="290">
      <formula>$B44="Material"</formula>
    </cfRule>
    <cfRule type="expression" dxfId="291" priority="291">
      <formula>$B44="Consumables"</formula>
    </cfRule>
    <cfRule type="expression" dxfId="290" priority="292">
      <formula>$B44="Accessory"</formula>
    </cfRule>
    <cfRule type="expression" dxfId="289" priority="293">
      <formula>$B44="Armor"</formula>
    </cfRule>
    <cfRule type="expression" dxfId="288" priority="294">
      <formula>$B44 = "Weapon"</formula>
    </cfRule>
  </conditionalFormatting>
  <conditionalFormatting sqref="C15:C20">
    <cfRule type="expression" dxfId="287" priority="283">
      <formula>$B15="Recipes"</formula>
    </cfRule>
    <cfRule type="expression" dxfId="286" priority="284">
      <formula>$B15="Material"</formula>
    </cfRule>
    <cfRule type="expression" dxfId="285" priority="285">
      <formula>$B15="Consumables"</formula>
    </cfRule>
    <cfRule type="expression" dxfId="284" priority="286">
      <formula>$B15="Accessory"</formula>
    </cfRule>
    <cfRule type="expression" dxfId="283" priority="287">
      <formula>$B15="Armor"</formula>
    </cfRule>
    <cfRule type="expression" dxfId="282" priority="288">
      <formula>$B15 = "Weapon"</formula>
    </cfRule>
  </conditionalFormatting>
  <conditionalFormatting sqref="C21:C26">
    <cfRule type="expression" dxfId="281" priority="277">
      <formula>$B21="Recipes"</formula>
    </cfRule>
    <cfRule type="expression" dxfId="280" priority="278">
      <formula>$B21="Material"</formula>
    </cfRule>
    <cfRule type="expression" dxfId="279" priority="279">
      <formula>$B21="Consumables"</formula>
    </cfRule>
    <cfRule type="expression" dxfId="278" priority="280">
      <formula>$B21="Accessory"</formula>
    </cfRule>
    <cfRule type="expression" dxfId="277" priority="281">
      <formula>$B21="Armor"</formula>
    </cfRule>
    <cfRule type="expression" dxfId="276" priority="282">
      <formula>$B21 = "Weapon"</formula>
    </cfRule>
  </conditionalFormatting>
  <conditionalFormatting sqref="C27:C32">
    <cfRule type="expression" dxfId="275" priority="271">
      <formula>$B27="Recipes"</formula>
    </cfRule>
    <cfRule type="expression" dxfId="274" priority="272">
      <formula>$B27="Material"</formula>
    </cfRule>
    <cfRule type="expression" dxfId="273" priority="273">
      <formula>$B27="Consumables"</formula>
    </cfRule>
    <cfRule type="expression" dxfId="272" priority="274">
      <formula>$B27="Accessory"</formula>
    </cfRule>
    <cfRule type="expression" dxfId="271" priority="275">
      <formula>$B27="Armor"</formula>
    </cfRule>
    <cfRule type="expression" dxfId="270" priority="276">
      <formula>$B27 = "Weapon"</formula>
    </cfRule>
  </conditionalFormatting>
  <conditionalFormatting sqref="C33:C38">
    <cfRule type="expression" dxfId="269" priority="265">
      <formula>$B33="Recipes"</formula>
    </cfRule>
    <cfRule type="expression" dxfId="268" priority="266">
      <formula>$B33="Material"</formula>
    </cfRule>
    <cfRule type="expression" dxfId="267" priority="267">
      <formula>$B33="Consumables"</formula>
    </cfRule>
    <cfRule type="expression" dxfId="266" priority="268">
      <formula>$B33="Accessory"</formula>
    </cfRule>
    <cfRule type="expression" dxfId="265" priority="269">
      <formula>$B33="Armor"</formula>
    </cfRule>
    <cfRule type="expression" dxfId="264" priority="270">
      <formula>$B33 = "Weapon"</formula>
    </cfRule>
  </conditionalFormatting>
  <conditionalFormatting sqref="C39:C44">
    <cfRule type="expression" dxfId="263" priority="259">
      <formula>$B39="Recipes"</formula>
    </cfRule>
    <cfRule type="expression" dxfId="262" priority="260">
      <formula>$B39="Material"</formula>
    </cfRule>
    <cfRule type="expression" dxfId="261" priority="261">
      <formula>$B39="Consumables"</formula>
    </cfRule>
    <cfRule type="expression" dxfId="260" priority="262">
      <formula>$B39="Accessory"</formula>
    </cfRule>
    <cfRule type="expression" dxfId="259" priority="263">
      <formula>$B39="Armor"</formula>
    </cfRule>
    <cfRule type="expression" dxfId="258" priority="264">
      <formula>$B39 = "Weapon"</formula>
    </cfRule>
  </conditionalFormatting>
  <conditionalFormatting sqref="C45:C50">
    <cfRule type="expression" dxfId="257" priority="253">
      <formula>$B45="Recipes"</formula>
    </cfRule>
    <cfRule type="expression" dxfId="256" priority="254">
      <formula>$B45="Material"</formula>
    </cfRule>
    <cfRule type="expression" dxfId="255" priority="255">
      <formula>$B45="Consumables"</formula>
    </cfRule>
    <cfRule type="expression" dxfId="254" priority="256">
      <formula>$B45="Accessory"</formula>
    </cfRule>
    <cfRule type="expression" dxfId="253" priority="257">
      <formula>$B45="Armor"</formula>
    </cfRule>
    <cfRule type="expression" dxfId="252" priority="258">
      <formula>$B45 = "Weapon"</formula>
    </cfRule>
  </conditionalFormatting>
  <conditionalFormatting sqref="C51:C56">
    <cfRule type="expression" dxfId="251" priority="247">
      <formula>$B51="Recipes"</formula>
    </cfRule>
    <cfRule type="expression" dxfId="250" priority="248">
      <formula>$B51="Material"</formula>
    </cfRule>
    <cfRule type="expression" dxfId="249" priority="249">
      <formula>$B51="Consumables"</formula>
    </cfRule>
    <cfRule type="expression" dxfId="248" priority="250">
      <formula>$B51="Accessory"</formula>
    </cfRule>
    <cfRule type="expression" dxfId="247" priority="251">
      <formula>$B51="Armor"</formula>
    </cfRule>
    <cfRule type="expression" dxfId="246" priority="252">
      <formula>$B51 = "Weapon"</formula>
    </cfRule>
  </conditionalFormatting>
  <conditionalFormatting sqref="C57:C62">
    <cfRule type="expression" dxfId="245" priority="241">
      <formula>$B57="Recipes"</formula>
    </cfRule>
    <cfRule type="expression" dxfId="244" priority="242">
      <formula>$B57="Material"</formula>
    </cfRule>
    <cfRule type="expression" dxfId="243" priority="243">
      <formula>$B57="Consumables"</formula>
    </cfRule>
    <cfRule type="expression" dxfId="242" priority="244">
      <formula>$B57="Accessory"</formula>
    </cfRule>
    <cfRule type="expression" dxfId="241" priority="245">
      <formula>$B57="Armor"</formula>
    </cfRule>
    <cfRule type="expression" dxfId="240" priority="246">
      <formula>$B57 = "Weapon"</formula>
    </cfRule>
  </conditionalFormatting>
  <conditionalFormatting sqref="B9:B14">
    <cfRule type="expression" dxfId="239" priority="229">
      <formula>$B9="Recipes"</formula>
    </cfRule>
    <cfRule type="expression" dxfId="238" priority="230">
      <formula>$B9="Material"</formula>
    </cfRule>
    <cfRule type="expression" dxfId="237" priority="231">
      <formula>$B9="Consumables"</formula>
    </cfRule>
    <cfRule type="expression" dxfId="236" priority="232">
      <formula>$B9="Accessory"</formula>
    </cfRule>
    <cfRule type="expression" dxfId="235" priority="233">
      <formula>$B9="Armor"</formula>
    </cfRule>
    <cfRule type="expression" dxfId="234" priority="234">
      <formula>$B9 = "Weapon"</formula>
    </cfRule>
  </conditionalFormatting>
  <conditionalFormatting sqref="B13:B14 B9:B10">
    <cfRule type="expression" dxfId="233" priority="235">
      <formula>$B9="Recipes"</formula>
    </cfRule>
    <cfRule type="expression" dxfId="232" priority="236">
      <formula>$B9="Material"</formula>
    </cfRule>
    <cfRule type="expression" dxfId="231" priority="237">
      <formula>$B9="Consumables"</formula>
    </cfRule>
    <cfRule type="expression" dxfId="230" priority="238">
      <formula>$B9="Accessory"</formula>
    </cfRule>
    <cfRule type="expression" dxfId="229" priority="239">
      <formula>$B9="Armor"</formula>
    </cfRule>
    <cfRule type="expression" dxfId="228" priority="240">
      <formula>$B9 = "Weapon"</formula>
    </cfRule>
  </conditionalFormatting>
  <conditionalFormatting sqref="B11">
    <cfRule type="expression" dxfId="227" priority="223">
      <formula>$B11="Recipes"</formula>
    </cfRule>
    <cfRule type="expression" dxfId="226" priority="224">
      <formula>$B11="Material"</formula>
    </cfRule>
    <cfRule type="expression" dxfId="225" priority="225">
      <formula>$B11="Consumables"</formula>
    </cfRule>
    <cfRule type="expression" dxfId="224" priority="226">
      <formula>$B11="Accessory"</formula>
    </cfRule>
    <cfRule type="expression" dxfId="223" priority="227">
      <formula>$B11="Armor"</formula>
    </cfRule>
    <cfRule type="expression" dxfId="222" priority="228">
      <formula>$B11 = "Weapon"</formula>
    </cfRule>
  </conditionalFormatting>
  <conditionalFormatting sqref="B12">
    <cfRule type="expression" dxfId="221" priority="217">
      <formula>$B12="Recipes"</formula>
    </cfRule>
    <cfRule type="expression" dxfId="220" priority="218">
      <formula>$B12="Material"</formula>
    </cfRule>
    <cfRule type="expression" dxfId="219" priority="219">
      <formula>$B12="Consumables"</formula>
    </cfRule>
    <cfRule type="expression" dxfId="218" priority="220">
      <formula>$B12="Accessory"</formula>
    </cfRule>
    <cfRule type="expression" dxfId="217" priority="221">
      <formula>$B12="Armor"</formula>
    </cfRule>
    <cfRule type="expression" dxfId="216" priority="222">
      <formula>$B12 = "Weapon"</formula>
    </cfRule>
  </conditionalFormatting>
  <conditionalFormatting sqref="B15:B23">
    <cfRule type="expression" dxfId="215" priority="211">
      <formula>$B15="Recipes"</formula>
    </cfRule>
    <cfRule type="expression" dxfId="214" priority="212">
      <formula>$B15="Material"</formula>
    </cfRule>
    <cfRule type="expression" dxfId="213" priority="213">
      <formula>$B15="Consumables"</formula>
    </cfRule>
    <cfRule type="expression" dxfId="212" priority="214">
      <formula>$B15="Accessory"</formula>
    </cfRule>
    <cfRule type="expression" dxfId="211" priority="215">
      <formula>$B15="Armor"</formula>
    </cfRule>
    <cfRule type="expression" dxfId="210" priority="216">
      <formula>$B15 = "Weapon"</formula>
    </cfRule>
  </conditionalFormatting>
  <conditionalFormatting sqref="B24:B80">
    <cfRule type="expression" dxfId="209" priority="199">
      <formula>$B24="Recipes"</formula>
    </cfRule>
    <cfRule type="expression" dxfId="208" priority="200">
      <formula>$B24="Material"</formula>
    </cfRule>
    <cfRule type="expression" dxfId="207" priority="201">
      <formula>$B24="Consumables"</formula>
    </cfRule>
    <cfRule type="expression" dxfId="206" priority="202">
      <formula>$B24="Accessory"</formula>
    </cfRule>
    <cfRule type="expression" dxfId="205" priority="203">
      <formula>$B24="Armor"</formula>
    </cfRule>
    <cfRule type="expression" dxfId="204" priority="204">
      <formula>$B24 = "Weapon"</formula>
    </cfRule>
  </conditionalFormatting>
  <conditionalFormatting sqref="B43:B53 B38 B24:B33">
    <cfRule type="expression" dxfId="203" priority="205">
      <formula>$B24="Recipes"</formula>
    </cfRule>
    <cfRule type="expression" dxfId="202" priority="206">
      <formula>$B24="Material"</formula>
    </cfRule>
    <cfRule type="expression" dxfId="201" priority="207">
      <formula>$B24="Consumables"</formula>
    </cfRule>
    <cfRule type="expression" dxfId="200" priority="208">
      <formula>$B24="Accessory"</formula>
    </cfRule>
    <cfRule type="expression" dxfId="199" priority="209">
      <formula>$B24="Armor"</formula>
    </cfRule>
    <cfRule type="expression" dxfId="198" priority="210">
      <formula>$B24 = "Weapon"</formula>
    </cfRule>
  </conditionalFormatting>
  <conditionalFormatting sqref="B34">
    <cfRule type="expression" dxfId="197" priority="193">
      <formula>$B34="Recipes"</formula>
    </cfRule>
    <cfRule type="expression" dxfId="196" priority="194">
      <formula>$B34="Material"</formula>
    </cfRule>
    <cfRule type="expression" dxfId="195" priority="195">
      <formula>$B34="Consumables"</formula>
    </cfRule>
    <cfRule type="expression" dxfId="194" priority="196">
      <formula>$B34="Accessory"</formula>
    </cfRule>
    <cfRule type="expression" dxfId="193" priority="197">
      <formula>$B34="Armor"</formula>
    </cfRule>
    <cfRule type="expression" dxfId="192" priority="198">
      <formula>$B34 = "Weapon"</formula>
    </cfRule>
  </conditionalFormatting>
  <conditionalFormatting sqref="B35:B37">
    <cfRule type="expression" dxfId="191" priority="187">
      <formula>$B35="Recipes"</formula>
    </cfRule>
    <cfRule type="expression" dxfId="190" priority="188">
      <formula>$B35="Material"</formula>
    </cfRule>
    <cfRule type="expression" dxfId="189" priority="189">
      <formula>$B35="Consumables"</formula>
    </cfRule>
    <cfRule type="expression" dxfId="188" priority="190">
      <formula>$B35="Accessory"</formula>
    </cfRule>
    <cfRule type="expression" dxfId="187" priority="191">
      <formula>$B35="Armor"</formula>
    </cfRule>
    <cfRule type="expression" dxfId="186" priority="192">
      <formula>$B35 = "Weapon"</formula>
    </cfRule>
  </conditionalFormatting>
  <conditionalFormatting sqref="B39">
    <cfRule type="expression" dxfId="185" priority="181">
      <formula>$B39="Recipes"</formula>
    </cfRule>
    <cfRule type="expression" dxfId="184" priority="182">
      <formula>$B39="Material"</formula>
    </cfRule>
    <cfRule type="expression" dxfId="183" priority="183">
      <formula>$B39="Consumables"</formula>
    </cfRule>
    <cfRule type="expression" dxfId="182" priority="184">
      <formula>$B39="Accessory"</formula>
    </cfRule>
    <cfRule type="expression" dxfId="181" priority="185">
      <formula>$B39="Armor"</formula>
    </cfRule>
    <cfRule type="expression" dxfId="180" priority="186">
      <formula>$B39 = "Weapon"</formula>
    </cfRule>
  </conditionalFormatting>
  <conditionalFormatting sqref="B40">
    <cfRule type="expression" dxfId="179" priority="175">
      <formula>$B40="Recipes"</formula>
    </cfRule>
    <cfRule type="expression" dxfId="178" priority="176">
      <formula>$B40="Material"</formula>
    </cfRule>
    <cfRule type="expression" dxfId="177" priority="177">
      <formula>$B40="Consumables"</formula>
    </cfRule>
    <cfRule type="expression" dxfId="176" priority="178">
      <formula>$B40="Accessory"</formula>
    </cfRule>
    <cfRule type="expression" dxfId="175" priority="179">
      <formula>$B40="Armor"</formula>
    </cfRule>
    <cfRule type="expression" dxfId="174" priority="180">
      <formula>$B40 = "Weapon"</formula>
    </cfRule>
  </conditionalFormatting>
  <conditionalFormatting sqref="B41">
    <cfRule type="expression" dxfId="173" priority="169">
      <formula>$B41="Recipes"</formula>
    </cfRule>
    <cfRule type="expression" dxfId="172" priority="170">
      <formula>$B41="Material"</formula>
    </cfRule>
    <cfRule type="expression" dxfId="171" priority="171">
      <formula>$B41="Consumables"</formula>
    </cfRule>
    <cfRule type="expression" dxfId="170" priority="172">
      <formula>$B41="Accessory"</formula>
    </cfRule>
    <cfRule type="expression" dxfId="169" priority="173">
      <formula>$B41="Armor"</formula>
    </cfRule>
    <cfRule type="expression" dxfId="168" priority="174">
      <formula>$B41 = "Weapon"</formula>
    </cfRule>
  </conditionalFormatting>
  <conditionalFormatting sqref="B42">
    <cfRule type="expression" dxfId="167" priority="163">
      <formula>$B42="Recipes"</formula>
    </cfRule>
    <cfRule type="expression" dxfId="166" priority="164">
      <formula>$B42="Material"</formula>
    </cfRule>
    <cfRule type="expression" dxfId="165" priority="165">
      <formula>$B42="Consumables"</formula>
    </cfRule>
    <cfRule type="expression" dxfId="164" priority="166">
      <formula>$B42="Accessory"</formula>
    </cfRule>
    <cfRule type="expression" dxfId="163" priority="167">
      <formula>$B42="Armor"</formula>
    </cfRule>
    <cfRule type="expression" dxfId="162" priority="168">
      <formula>$B42 = "Weapon"</formula>
    </cfRule>
  </conditionalFormatting>
  <conditionalFormatting sqref="C42:C43 C34:C36">
    <cfRule type="expression" dxfId="161" priority="157">
      <formula>$B34="Recipes"</formula>
    </cfRule>
    <cfRule type="expression" dxfId="160" priority="158">
      <formula>$B34="Material"</formula>
    </cfRule>
    <cfRule type="expression" dxfId="159" priority="159">
      <formula>$B34="Consumables"</formula>
    </cfRule>
    <cfRule type="expression" dxfId="158" priority="160">
      <formula>$B34="Accessory"</formula>
    </cfRule>
    <cfRule type="expression" dxfId="157" priority="161">
      <formula>$B34="Armor"</formula>
    </cfRule>
    <cfRule type="expression" dxfId="156" priority="162">
      <formula>$B34 = "Weapon"</formula>
    </cfRule>
  </conditionalFormatting>
  <conditionalFormatting sqref="C37">
    <cfRule type="expression" dxfId="155" priority="151">
      <formula>$B37="Recipes"</formula>
    </cfRule>
    <cfRule type="expression" dxfId="154" priority="152">
      <formula>$B37="Material"</formula>
    </cfRule>
    <cfRule type="expression" dxfId="153" priority="153">
      <formula>$B37="Consumables"</formula>
    </cfRule>
    <cfRule type="expression" dxfId="152" priority="154">
      <formula>$B37="Accessory"</formula>
    </cfRule>
    <cfRule type="expression" dxfId="151" priority="155">
      <formula>$B37="Armor"</formula>
    </cfRule>
    <cfRule type="expression" dxfId="150" priority="156">
      <formula>$B37 = "Weapon"</formula>
    </cfRule>
  </conditionalFormatting>
  <conditionalFormatting sqref="C38">
    <cfRule type="expression" dxfId="149" priority="145">
      <formula>$B38="Recipes"</formula>
    </cfRule>
    <cfRule type="expression" dxfId="148" priority="146">
      <formula>$B38="Material"</formula>
    </cfRule>
    <cfRule type="expression" dxfId="147" priority="147">
      <formula>$B38="Consumables"</formula>
    </cfRule>
    <cfRule type="expression" dxfId="146" priority="148">
      <formula>$B38="Accessory"</formula>
    </cfRule>
    <cfRule type="expression" dxfId="145" priority="149">
      <formula>$B38="Armor"</formula>
    </cfRule>
    <cfRule type="expression" dxfId="144" priority="150">
      <formula>$B38 = "Weapon"</formula>
    </cfRule>
  </conditionalFormatting>
  <conditionalFormatting sqref="C39">
    <cfRule type="expression" dxfId="143" priority="139">
      <formula>$B39="Recipes"</formula>
    </cfRule>
    <cfRule type="expression" dxfId="142" priority="140">
      <formula>$B39="Material"</formula>
    </cfRule>
    <cfRule type="expression" dxfId="141" priority="141">
      <formula>$B39="Consumables"</formula>
    </cfRule>
    <cfRule type="expression" dxfId="140" priority="142">
      <formula>$B39="Accessory"</formula>
    </cfRule>
    <cfRule type="expression" dxfId="139" priority="143">
      <formula>$B39="Armor"</formula>
    </cfRule>
    <cfRule type="expression" dxfId="138" priority="144">
      <formula>$B39 = "Weapon"</formula>
    </cfRule>
  </conditionalFormatting>
  <conditionalFormatting sqref="C40">
    <cfRule type="expression" dxfId="137" priority="133">
      <formula>$B40="Recipes"</formula>
    </cfRule>
    <cfRule type="expression" dxfId="136" priority="134">
      <formula>$B40="Material"</formula>
    </cfRule>
    <cfRule type="expression" dxfId="135" priority="135">
      <formula>$B40="Consumables"</formula>
    </cfRule>
    <cfRule type="expression" dxfId="134" priority="136">
      <formula>$B40="Accessory"</formula>
    </cfRule>
    <cfRule type="expression" dxfId="133" priority="137">
      <formula>$B40="Armor"</formula>
    </cfRule>
    <cfRule type="expression" dxfId="132" priority="138">
      <formula>$B40 = "Weapon"</formula>
    </cfRule>
  </conditionalFormatting>
  <conditionalFormatting sqref="C41">
    <cfRule type="expression" dxfId="131" priority="127">
      <formula>$B41="Recipes"</formula>
    </cfRule>
    <cfRule type="expression" dxfId="130" priority="128">
      <formula>$B41="Material"</formula>
    </cfRule>
    <cfRule type="expression" dxfId="129" priority="129">
      <formula>$B41="Consumables"</formula>
    </cfRule>
    <cfRule type="expression" dxfId="128" priority="130">
      <formula>$B41="Accessory"</formula>
    </cfRule>
    <cfRule type="expression" dxfId="127" priority="131">
      <formula>$B41="Armor"</formula>
    </cfRule>
    <cfRule type="expression" dxfId="126" priority="132">
      <formula>$B41 = "Weapon"</formula>
    </cfRule>
  </conditionalFormatting>
  <conditionalFormatting sqref="C34:C36">
    <cfRule type="expression" dxfId="125" priority="121">
      <formula>$B34="Recipes"</formula>
    </cfRule>
    <cfRule type="expression" dxfId="124" priority="122">
      <formula>$B34="Material"</formula>
    </cfRule>
    <cfRule type="expression" dxfId="123" priority="123">
      <formula>$B34="Consumables"</formula>
    </cfRule>
    <cfRule type="expression" dxfId="122" priority="124">
      <formula>$B34="Accessory"</formula>
    </cfRule>
    <cfRule type="expression" dxfId="121" priority="125">
      <formula>$B34="Armor"</formula>
    </cfRule>
    <cfRule type="expression" dxfId="120" priority="126">
      <formula>$B34 = "Weapon"</formula>
    </cfRule>
  </conditionalFormatting>
  <conditionalFormatting sqref="C37:C42">
    <cfRule type="expression" dxfId="119" priority="115">
      <formula>$B37="Recipes"</formula>
    </cfRule>
    <cfRule type="expression" dxfId="118" priority="116">
      <formula>$B37="Material"</formula>
    </cfRule>
    <cfRule type="expression" dxfId="117" priority="117">
      <formula>$B37="Consumables"</formula>
    </cfRule>
    <cfRule type="expression" dxfId="116" priority="118">
      <formula>$B37="Accessory"</formula>
    </cfRule>
    <cfRule type="expression" dxfId="115" priority="119">
      <formula>$B37="Armor"</formula>
    </cfRule>
    <cfRule type="expression" dxfId="114" priority="120">
      <formula>$B37 = "Weapon"</formula>
    </cfRule>
  </conditionalFormatting>
  <conditionalFormatting sqref="C43">
    <cfRule type="expression" dxfId="113" priority="109">
      <formula>$B43="Recipes"</formula>
    </cfRule>
    <cfRule type="expression" dxfId="112" priority="110">
      <formula>$B43="Material"</formula>
    </cfRule>
    <cfRule type="expression" dxfId="111" priority="111">
      <formula>$B43="Consumables"</formula>
    </cfRule>
    <cfRule type="expression" dxfId="110" priority="112">
      <formula>$B43="Accessory"</formula>
    </cfRule>
    <cfRule type="expression" dxfId="109" priority="113">
      <formula>$B43="Armor"</formula>
    </cfRule>
    <cfRule type="expression" dxfId="108" priority="114">
      <formula>$B43 = "Weapon"</formula>
    </cfRule>
  </conditionalFormatting>
  <conditionalFormatting sqref="C52:C53 C44:C46">
    <cfRule type="expression" dxfId="107" priority="103">
      <formula>$B44="Recipes"</formula>
    </cfRule>
    <cfRule type="expression" dxfId="106" priority="104">
      <formula>$B44="Material"</formula>
    </cfRule>
    <cfRule type="expression" dxfId="105" priority="105">
      <formula>$B44="Consumables"</formula>
    </cfRule>
    <cfRule type="expression" dxfId="104" priority="106">
      <formula>$B44="Accessory"</formula>
    </cfRule>
    <cfRule type="expression" dxfId="103" priority="107">
      <formula>$B44="Armor"</formula>
    </cfRule>
    <cfRule type="expression" dxfId="102" priority="108">
      <formula>$B44 = "Weapon"</formula>
    </cfRule>
  </conditionalFormatting>
  <conditionalFormatting sqref="C47">
    <cfRule type="expression" dxfId="101" priority="97">
      <formula>$B47="Recipes"</formula>
    </cfRule>
    <cfRule type="expression" dxfId="100" priority="98">
      <formula>$B47="Material"</formula>
    </cfRule>
    <cfRule type="expression" dxfId="99" priority="99">
      <formula>$B47="Consumables"</formula>
    </cfRule>
    <cfRule type="expression" dxfId="98" priority="100">
      <formula>$B47="Accessory"</formula>
    </cfRule>
    <cfRule type="expression" dxfId="97" priority="101">
      <formula>$B47="Armor"</formula>
    </cfRule>
    <cfRule type="expression" dxfId="96" priority="102">
      <formula>$B47 = "Weapon"</formula>
    </cfRule>
  </conditionalFormatting>
  <conditionalFormatting sqref="C48">
    <cfRule type="expression" dxfId="95" priority="91">
      <formula>$B48="Recipes"</formula>
    </cfRule>
    <cfRule type="expression" dxfId="94" priority="92">
      <formula>$B48="Material"</formula>
    </cfRule>
    <cfRule type="expression" dxfId="93" priority="93">
      <formula>$B48="Consumables"</formula>
    </cfRule>
    <cfRule type="expression" dxfId="92" priority="94">
      <formula>$B48="Accessory"</formula>
    </cfRule>
    <cfRule type="expression" dxfId="91" priority="95">
      <formula>$B48="Armor"</formula>
    </cfRule>
    <cfRule type="expression" dxfId="90" priority="96">
      <formula>$B48 = "Weapon"</formula>
    </cfRule>
  </conditionalFormatting>
  <conditionalFormatting sqref="C49">
    <cfRule type="expression" dxfId="89" priority="85">
      <formula>$B49="Recipes"</formula>
    </cfRule>
    <cfRule type="expression" dxfId="88" priority="86">
      <formula>$B49="Material"</formula>
    </cfRule>
    <cfRule type="expression" dxfId="87" priority="87">
      <formula>$B49="Consumables"</formula>
    </cfRule>
    <cfRule type="expression" dxfId="86" priority="88">
      <formula>$B49="Accessory"</formula>
    </cfRule>
    <cfRule type="expression" dxfId="85" priority="89">
      <formula>$B49="Armor"</formula>
    </cfRule>
    <cfRule type="expression" dxfId="84" priority="90">
      <formula>$B49 = "Weapon"</formula>
    </cfRule>
  </conditionalFormatting>
  <conditionalFormatting sqref="C50">
    <cfRule type="expression" dxfId="83" priority="79">
      <formula>$B50="Recipes"</formula>
    </cfRule>
    <cfRule type="expression" dxfId="82" priority="80">
      <formula>$B50="Material"</formula>
    </cfRule>
    <cfRule type="expression" dxfId="81" priority="81">
      <formula>$B50="Consumables"</formula>
    </cfRule>
    <cfRule type="expression" dxfId="80" priority="82">
      <formula>$B50="Accessory"</formula>
    </cfRule>
    <cfRule type="expression" dxfId="79" priority="83">
      <formula>$B50="Armor"</formula>
    </cfRule>
    <cfRule type="expression" dxfId="78" priority="84">
      <formula>$B50 = "Weapon"</formula>
    </cfRule>
  </conditionalFormatting>
  <conditionalFormatting sqref="C51">
    <cfRule type="expression" dxfId="77" priority="73">
      <formula>$B51="Recipes"</formula>
    </cfRule>
    <cfRule type="expression" dxfId="76" priority="74">
      <formula>$B51="Material"</formula>
    </cfRule>
    <cfRule type="expression" dxfId="75" priority="75">
      <formula>$B51="Consumables"</formula>
    </cfRule>
    <cfRule type="expression" dxfId="74" priority="76">
      <formula>$B51="Accessory"</formula>
    </cfRule>
    <cfRule type="expression" dxfId="73" priority="77">
      <formula>$B51="Armor"</formula>
    </cfRule>
    <cfRule type="expression" dxfId="72" priority="78">
      <formula>$B51 = "Weapon"</formula>
    </cfRule>
  </conditionalFormatting>
  <conditionalFormatting sqref="C44:C46">
    <cfRule type="expression" dxfId="71" priority="67">
      <formula>$B44="Recipes"</formula>
    </cfRule>
    <cfRule type="expression" dxfId="70" priority="68">
      <formula>$B44="Material"</formula>
    </cfRule>
    <cfRule type="expression" dxfId="69" priority="69">
      <formula>$B44="Consumables"</formula>
    </cfRule>
    <cfRule type="expression" dxfId="68" priority="70">
      <formula>$B44="Accessory"</formula>
    </cfRule>
    <cfRule type="expression" dxfId="67" priority="71">
      <formula>$B44="Armor"</formula>
    </cfRule>
    <cfRule type="expression" dxfId="66" priority="72">
      <formula>$B44 = "Weapon"</formula>
    </cfRule>
  </conditionalFormatting>
  <conditionalFormatting sqref="C47:C52">
    <cfRule type="expression" dxfId="65" priority="61">
      <formula>$B47="Recipes"</formula>
    </cfRule>
    <cfRule type="expression" dxfId="64" priority="62">
      <formula>$B47="Material"</formula>
    </cfRule>
    <cfRule type="expression" dxfId="63" priority="63">
      <formula>$B47="Consumables"</formula>
    </cfRule>
    <cfRule type="expression" dxfId="62" priority="64">
      <formula>$B47="Accessory"</formula>
    </cfRule>
    <cfRule type="expression" dxfId="61" priority="65">
      <formula>$B47="Armor"</formula>
    </cfRule>
    <cfRule type="expression" dxfId="60" priority="66">
      <formula>$B47 = "Weapon"</formula>
    </cfRule>
  </conditionalFormatting>
  <conditionalFormatting sqref="C53">
    <cfRule type="expression" dxfId="59" priority="55">
      <formula>$B53="Recipes"</formula>
    </cfRule>
    <cfRule type="expression" dxfId="58" priority="56">
      <formula>$B53="Material"</formula>
    </cfRule>
    <cfRule type="expression" dxfId="57" priority="57">
      <formula>$B53="Consumables"</formula>
    </cfRule>
    <cfRule type="expression" dxfId="56" priority="58">
      <formula>$B53="Accessory"</formula>
    </cfRule>
    <cfRule type="expression" dxfId="55" priority="59">
      <formula>$B53="Armor"</formula>
    </cfRule>
    <cfRule type="expression" dxfId="54" priority="60">
      <formula>$B53 = "Weapon"</formula>
    </cfRule>
  </conditionalFormatting>
  <conditionalFormatting sqref="C62:C63 C54:C56">
    <cfRule type="expression" dxfId="53" priority="49">
      <formula>$B54="Recipes"</formula>
    </cfRule>
    <cfRule type="expression" dxfId="52" priority="50">
      <formula>$B54="Material"</formula>
    </cfRule>
    <cfRule type="expression" dxfId="51" priority="51">
      <formula>$B54="Consumables"</formula>
    </cfRule>
    <cfRule type="expression" dxfId="50" priority="52">
      <formula>$B54="Accessory"</formula>
    </cfRule>
    <cfRule type="expression" dxfId="49" priority="53">
      <formula>$B54="Armor"</formula>
    </cfRule>
    <cfRule type="expression" dxfId="48" priority="54">
      <formula>$B54 = "Weapon"</formula>
    </cfRule>
  </conditionalFormatting>
  <conditionalFormatting sqref="C57">
    <cfRule type="expression" dxfId="47" priority="43">
      <formula>$B57="Recipes"</formula>
    </cfRule>
    <cfRule type="expression" dxfId="46" priority="44">
      <formula>$B57="Material"</formula>
    </cfRule>
    <cfRule type="expression" dxfId="45" priority="45">
      <formula>$B57="Consumables"</formula>
    </cfRule>
    <cfRule type="expression" dxfId="44" priority="46">
      <formula>$B57="Accessory"</formula>
    </cfRule>
    <cfRule type="expression" dxfId="43" priority="47">
      <formula>$B57="Armor"</formula>
    </cfRule>
    <cfRule type="expression" dxfId="42" priority="48">
      <formula>$B57 = "Weapon"</formula>
    </cfRule>
  </conditionalFormatting>
  <conditionalFormatting sqref="C58">
    <cfRule type="expression" dxfId="41" priority="37">
      <formula>$B58="Recipes"</formula>
    </cfRule>
    <cfRule type="expression" dxfId="40" priority="38">
      <formula>$B58="Material"</formula>
    </cfRule>
    <cfRule type="expression" dxfId="39" priority="39">
      <formula>$B58="Consumables"</formula>
    </cfRule>
    <cfRule type="expression" dxfId="38" priority="40">
      <formula>$B58="Accessory"</formula>
    </cfRule>
    <cfRule type="expression" dxfId="37" priority="41">
      <formula>$B58="Armor"</formula>
    </cfRule>
    <cfRule type="expression" dxfId="36" priority="42">
      <formula>$B58 = "Weapon"</formula>
    </cfRule>
  </conditionalFormatting>
  <conditionalFormatting sqref="C59">
    <cfRule type="expression" dxfId="35" priority="31">
      <formula>$B59="Recipes"</formula>
    </cfRule>
    <cfRule type="expression" dxfId="34" priority="32">
      <formula>$B59="Material"</formula>
    </cfRule>
    <cfRule type="expression" dxfId="33" priority="33">
      <formula>$B59="Consumables"</formula>
    </cfRule>
    <cfRule type="expression" dxfId="32" priority="34">
      <formula>$B59="Accessory"</formula>
    </cfRule>
    <cfRule type="expression" dxfId="31" priority="35">
      <formula>$B59="Armor"</formula>
    </cfRule>
    <cfRule type="expression" dxfId="30" priority="36">
      <formula>$B59 = "Weapon"</formula>
    </cfRule>
  </conditionalFormatting>
  <conditionalFormatting sqref="C60">
    <cfRule type="expression" dxfId="29" priority="25">
      <formula>$B60="Recipes"</formula>
    </cfRule>
    <cfRule type="expression" dxfId="28" priority="26">
      <formula>$B60="Material"</formula>
    </cfRule>
    <cfRule type="expression" dxfId="27" priority="27">
      <formula>$B60="Consumables"</formula>
    </cfRule>
    <cfRule type="expression" dxfId="26" priority="28">
      <formula>$B60="Accessory"</formula>
    </cfRule>
    <cfRule type="expression" dxfId="25" priority="29">
      <formula>$B60="Armor"</formula>
    </cfRule>
    <cfRule type="expression" dxfId="24" priority="30">
      <formula>$B60 = "Weapon"</formula>
    </cfRule>
  </conditionalFormatting>
  <conditionalFormatting sqref="C61">
    <cfRule type="expression" dxfId="23" priority="19">
      <formula>$B61="Recipes"</formula>
    </cfRule>
    <cfRule type="expression" dxfId="22" priority="20">
      <formula>$B61="Material"</formula>
    </cfRule>
    <cfRule type="expression" dxfId="21" priority="21">
      <formula>$B61="Consumables"</formula>
    </cfRule>
    <cfRule type="expression" dxfId="20" priority="22">
      <formula>$B61="Accessory"</formula>
    </cfRule>
    <cfRule type="expression" dxfId="19" priority="23">
      <formula>$B61="Armor"</formula>
    </cfRule>
    <cfRule type="expression" dxfId="18" priority="24">
      <formula>$B61 = "Weapon"</formula>
    </cfRule>
  </conditionalFormatting>
  <conditionalFormatting sqref="C54:C56">
    <cfRule type="expression" dxfId="17" priority="13">
      <formula>$B54="Recipes"</formula>
    </cfRule>
    <cfRule type="expression" dxfId="16" priority="14">
      <formula>$B54="Material"</formula>
    </cfRule>
    <cfRule type="expression" dxfId="15" priority="15">
      <formula>$B54="Consumables"</formula>
    </cfRule>
    <cfRule type="expression" dxfId="14" priority="16">
      <formula>$B54="Accessory"</formula>
    </cfRule>
    <cfRule type="expression" dxfId="13" priority="17">
      <formula>$B54="Armor"</formula>
    </cfRule>
    <cfRule type="expression" dxfId="12" priority="18">
      <formula>$B54 = "Weapon"</formula>
    </cfRule>
  </conditionalFormatting>
  <conditionalFormatting sqref="C57:C62">
    <cfRule type="expression" dxfId="11" priority="7">
      <formula>$B57="Recipes"</formula>
    </cfRule>
    <cfRule type="expression" dxfId="10" priority="8">
      <formula>$B57="Material"</formula>
    </cfRule>
    <cfRule type="expression" dxfId="9" priority="9">
      <formula>$B57="Consumables"</formula>
    </cfRule>
    <cfRule type="expression" dxfId="8" priority="10">
      <formula>$B57="Accessory"</formula>
    </cfRule>
    <cfRule type="expression" dxfId="7" priority="11">
      <formula>$B57="Armor"</formula>
    </cfRule>
    <cfRule type="expression" dxfId="6" priority="12">
      <formula>$B57 = "Weapon"</formula>
    </cfRule>
  </conditionalFormatting>
  <conditionalFormatting sqref="C63">
    <cfRule type="expression" dxfId="5" priority="1">
      <formula>$B63="Recipes"</formula>
    </cfRule>
    <cfRule type="expression" dxfId="4" priority="2">
      <formula>$B63="Material"</formula>
    </cfRule>
    <cfRule type="expression" dxfId="3" priority="3">
      <formula>$B63="Consumables"</formula>
    </cfRule>
    <cfRule type="expression" dxfId="2" priority="4">
      <formula>$B63="Accessory"</formula>
    </cfRule>
    <cfRule type="expression" dxfId="1" priority="5">
      <formula>$B63="Armor"</formula>
    </cfRule>
    <cfRule type="expression" dxfId="0" priority="6">
      <formula>$B63 = "Weapon"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cipes_Export">
                <anchor moveWithCells="1" sizeWithCells="1">
                  <from>
                    <xdr:col>10</xdr:col>
                    <xdr:colOff>1219200</xdr:colOff>
                    <xdr:row>0</xdr:row>
                    <xdr:rowOff>25400</xdr:rowOff>
                  </from>
                  <to>
                    <xdr:col>11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2019-07-12T05:03:21Z</dcterms:modified>
</cp:coreProperties>
</file>