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5A46AC90-8D86-2241-8D1C-DC2C6D967EF9}" xr6:coauthVersionLast="43" xr6:coauthVersionMax="43" xr10:uidLastSave="{00000000-0000-0000-0000-000000000000}"/>
  <bookViews>
    <workbookView xWindow="0" yWindow="460" windowWidth="28800" windowHeight="17540" activeTab="1" xr2:uid="{AACC6657-DF75-B24E-979F-10DF6B9789F6}"/>
  </bookViews>
  <sheets>
    <sheet name="Items" sheetId="1" state="hidden" r:id="rId1"/>
    <sheet name="Characters" sheetId="2" r:id="rId2"/>
  </sheets>
  <definedNames>
    <definedName name="_xlnm._FilterDatabase" localSheetId="1" hidden="1">Characters!$A$6:$AD$6</definedName>
    <definedName name="_xlnm._FilterDatabase" localSheetId="0" hidden="1">Items!$A$29:$M$29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7" i="1" l="1"/>
  <c r="A4" i="2"/>
</calcChain>
</file>

<file path=xl/sharedStrings.xml><?xml version="1.0" encoding="utf-8"?>
<sst xmlns="http://schemas.openxmlformats.org/spreadsheetml/2006/main" count="452" uniqueCount="263">
  <si>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</si>
  <si>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</si>
  <si>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</si>
  <si>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</si>
  <si>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</si>
  <si>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</si>
  <si>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</si>
  <si>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</si>
  <si>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</si>
  <si>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</si>
  <si>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</si>
  <si>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</si>
  <si>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</si>
  <si>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</si>
  <si>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</si>
  <si>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</si>
  <si>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</si>
  <si>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</si>
  <si>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</si>
  <si>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</si>
  <si>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</si>
  <si>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</si>
  <si>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</si>
  <si>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</si>
  <si>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</si>
  <si>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</si>
  <si>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</si>
  <si>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</si>
  <si>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</si>
  <si>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</si>
  <si>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</si>
  <si>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</si>
  <si>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</si>
  <si>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</si>
  <si>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</si>
  <si>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</si>
  <si>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</si>
  <si>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</si>
  <si>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</si>
  <si>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</si>
  <si>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</si>
  <si>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</si>
  <si>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</si>
  <si>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</si>
  <si>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</si>
  <si>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</si>
  <si>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</si>
  <si>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</si>
  <si>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</si>
  <si>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</si>
  <si>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</si>
  <si>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DisplayName</t>
    <phoneticPr fontId="1" type="noConversion"/>
  </si>
  <si>
    <t>Class</t>
    <phoneticPr fontId="1" type="noConversion"/>
  </si>
  <si>
    <t>Portrait</t>
    <phoneticPr fontId="1" type="noConversion"/>
  </si>
  <si>
    <t>HP</t>
    <phoneticPr fontId="1" type="noConversion"/>
  </si>
  <si>
    <t>STR</t>
    <phoneticPr fontId="1" type="noConversion"/>
  </si>
  <si>
    <t>INT</t>
    <phoneticPr fontId="1" type="noConversion"/>
  </si>
  <si>
    <t>AGI</t>
    <phoneticPr fontId="1" type="noConversion"/>
  </si>
  <si>
    <t>STA</t>
    <phoneticPr fontId="1" type="noConversion"/>
  </si>
  <si>
    <t>CRI</t>
    <phoneticPr fontId="1" type="noConversion"/>
  </si>
  <si>
    <t>Extra</t>
    <phoneticPr fontId="1" type="noConversion"/>
  </si>
  <si>
    <t>BASE STAT</t>
    <phoneticPr fontId="1" type="noConversion"/>
  </si>
  <si>
    <t>LEVEL UP STAT</t>
    <phoneticPr fontId="1" type="noConversion"/>
  </si>
  <si>
    <t>SKILLS</t>
    <phoneticPr fontId="1" type="noConversion"/>
  </si>
  <si>
    <t>Warrior</t>
  </si>
  <si>
    <t>Warrior</t>
    <phoneticPr fontId="1" type="noConversion"/>
  </si>
  <si>
    <t>Wizard</t>
    <phoneticPr fontId="1" type="noConversion"/>
  </si>
  <si>
    <t>Healer</t>
    <phoneticPr fontId="1" type="noConversion"/>
  </si>
  <si>
    <t>hector</t>
    <phoneticPr fontId="1" type="noConversion"/>
  </si>
  <si>
    <t>헥터</t>
    <phoneticPr fontId="1" type="noConversion"/>
  </si>
  <si>
    <t>player1_active.png</t>
    <phoneticPr fontId="1" type="noConversion"/>
  </si>
  <si>
    <t>crouch</t>
    <phoneticPr fontId="1" type="noConversion"/>
  </si>
  <si>
    <t>runaway</t>
    <phoneticPr fontId="1" type="noConversion"/>
  </si>
  <si>
    <t>warrior</t>
    <phoneticPr fontId="1" type="noConversion"/>
  </si>
  <si>
    <t>전사</t>
    <phoneticPr fontId="1" type="noConversion"/>
  </si>
  <si>
    <t>player5_active.png</t>
    <phoneticPr fontId="1" type="noConversion"/>
  </si>
  <si>
    <t>slash</t>
    <phoneticPr fontId="1" type="noConversion"/>
  </si>
  <si>
    <t>shieldAttack</t>
    <phoneticPr fontId="1" type="noConversion"/>
  </si>
  <si>
    <t>doubleAttack</t>
    <phoneticPr fontId="1" type="noConversion"/>
  </si>
  <si>
    <t>healer</t>
    <phoneticPr fontId="1" type="noConversion"/>
  </si>
  <si>
    <t>힐러</t>
    <phoneticPr fontId="1" type="noConversion"/>
  </si>
  <si>
    <t>player4_active.png</t>
    <phoneticPr fontId="1" type="noConversion"/>
  </si>
  <si>
    <t>wandAttack</t>
    <phoneticPr fontId="1" type="noConversion"/>
  </si>
  <si>
    <t>antiPower</t>
    <phoneticPr fontId="1" type="noConversion"/>
  </si>
  <si>
    <t>heal</t>
    <phoneticPr fontId="1" type="noConversion"/>
  </si>
  <si>
    <t>miluda</t>
    <phoneticPr fontId="1" type="noConversion"/>
  </si>
  <si>
    <t>궁수</t>
    <phoneticPr fontId="1" type="noConversion"/>
  </si>
  <si>
    <t>player3_active.png</t>
    <phoneticPr fontId="1" type="noConversion"/>
  </si>
  <si>
    <t>criticalAttack</t>
    <phoneticPr fontId="1" type="noConversion"/>
  </si>
  <si>
    <t>arrowOfTracker</t>
    <phoneticPr fontId="1" type="noConversion"/>
  </si>
  <si>
    <t>elid</t>
    <phoneticPr fontId="1" type="noConversion"/>
  </si>
  <si>
    <t>마법사</t>
    <phoneticPr fontId="1" type="noConversion"/>
  </si>
  <si>
    <t>player2_active.png</t>
    <phoneticPr fontId="1" type="noConversion"/>
  </si>
  <si>
    <t>fireBolt</t>
    <phoneticPr fontId="1" type="noConversion"/>
  </si>
  <si>
    <t>fireCape</t>
    <phoneticPr fontId="1" type="noConversion"/>
  </si>
  <si>
    <t>fireRain</t>
    <phoneticPr fontId="1" type="noConversion"/>
  </si>
  <si>
    <t>Characters</t>
    <phoneticPr fontId="1" type="noConversion"/>
  </si>
  <si>
    <t>HP/L</t>
    <phoneticPr fontId="1" type="noConversion"/>
  </si>
  <si>
    <t>STR/L</t>
    <phoneticPr fontId="1" type="noConversion"/>
  </si>
  <si>
    <t>INT/L</t>
    <phoneticPr fontId="1" type="noConversion"/>
  </si>
  <si>
    <t>AGI/L</t>
    <phoneticPr fontId="1" type="noConversion"/>
  </si>
  <si>
    <t>STA/L</t>
    <phoneticPr fontId="1" type="noConversion"/>
  </si>
  <si>
    <t>CRI/L</t>
    <phoneticPr fontId="1" type="noConversion"/>
  </si>
  <si>
    <t>Idle</t>
    <phoneticPr fontId="1" type="noConversion"/>
  </si>
  <si>
    <t>Walk</t>
    <phoneticPr fontId="1" type="noConversion"/>
  </si>
  <si>
    <t>Atk</t>
    <phoneticPr fontId="1" type="noConversion"/>
  </si>
  <si>
    <t>Magic</t>
    <phoneticPr fontId="1" type="noConversion"/>
  </si>
  <si>
    <t>X</t>
    <phoneticPr fontId="1" type="noConversion"/>
  </si>
  <si>
    <t>Y</t>
    <phoneticPr fontId="1" type="noConversion"/>
  </si>
  <si>
    <t>Offset</t>
    <phoneticPr fontId="1" type="noConversion"/>
  </si>
  <si>
    <t>Crouch</t>
    <phoneticPr fontId="1" type="noConversion"/>
  </si>
  <si>
    <t>Animation Length</t>
    <phoneticPr fontId="1" type="noConversion"/>
  </si>
  <si>
    <t>SPD/L</t>
    <phoneticPr fontId="1" type="noConversion"/>
  </si>
  <si>
    <t>SPD</t>
    <phoneticPr fontId="1" type="noConversion"/>
  </si>
  <si>
    <t>Wand</t>
  </si>
  <si>
    <t>soldier</t>
    <phoneticPr fontId="1" type="noConversion"/>
  </si>
  <si>
    <t>skeleton</t>
    <phoneticPr fontId="1" type="noConversion"/>
  </si>
  <si>
    <t>도굴꾼</t>
    <phoneticPr fontId="1" type="noConversion"/>
  </si>
  <si>
    <t>해골기사</t>
    <phoneticPr fontId="1" type="noConversion"/>
  </si>
  <si>
    <t>ghost</t>
    <phoneticPr fontId="1" type="noConversion"/>
  </si>
  <si>
    <t>네크로멘서</t>
    <phoneticPr fontId="1" type="noConversion"/>
  </si>
  <si>
    <t>breath</t>
    <phoneticPr fontId="1" type="noConversion"/>
  </si>
  <si>
    <t>dragon</t>
    <phoneticPr fontId="1" type="noConversion"/>
  </si>
  <si>
    <t>용</t>
    <phoneticPr fontId="1" type="noConversion"/>
  </si>
  <si>
    <t>lucavi</t>
    <phoneticPr fontId="1" type="noConversion"/>
  </si>
  <si>
    <t>스켈레톤</t>
    <phoneticPr fontId="1" type="noConversion"/>
  </si>
  <si>
    <t>doga</t>
    <phoneticPr fontId="1" type="noConversion"/>
  </si>
  <si>
    <t>수도사</t>
    <phoneticPr fontId="1" type="noConversion"/>
  </si>
  <si>
    <t>dknight</t>
    <phoneticPr fontId="1" type="noConversion"/>
  </si>
  <si>
    <t>암흑기사</t>
    <phoneticPr fontId="1" type="noConversion"/>
  </si>
  <si>
    <t>frogknight</t>
    <phoneticPr fontId="1" type="noConversion"/>
  </si>
  <si>
    <t>개굴전사</t>
    <phoneticPr fontId="1" type="noConversion"/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</si>
  <si>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</si>
  <si>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</si>
  <si>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</si>
  <si>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</si>
  <si>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</si>
  <si>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</si>
  <si>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</si>
  <si>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</si>
  <si>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</si>
  <si>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</si>
  <si>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</si>
  <si>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</si>
  <si>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</si>
  <si>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</si>
  <si>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</si>
  <si>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</si>
  <si>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</si>
  <si>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</si>
  <si>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</si>
  <si>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</si>
  <si>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</si>
  <si>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</si>
  <si>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</si>
  <si>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</si>
  <si>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</si>
  <si>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</si>
  <si>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</si>
  <si>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</si>
  <si>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</si>
  <si>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</si>
  <si>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</si>
  <si>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</si>
  <si>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</si>
  <si>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</si>
  <si>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</si>
  <si>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</si>
  <si>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</si>
  <si>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</si>
  <si>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</si>
  <si>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</si>
  <si>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</si>
  <si>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</si>
  <si>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</si>
  <si>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</si>
  <si>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</si>
  <si>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</si>
  <si>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</si>
  <si>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</si>
  <si>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</si>
  <si>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</si>
  <si>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</si>
  <si>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</si>
  <si>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</si>
  <si>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</si>
  <si>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</si>
  <si>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</si>
  <si>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</si>
  <si>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</si>
  <si>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</si>
  <si>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</si>
  <si>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</si>
  <si>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</si>
  <si>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</si>
  <si>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</si>
  <si>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</si>
  <si>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</si>
  <si>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</si>
  <si>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</si>
  <si>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</si>
  <si>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</si>
  <si>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</si>
  <si>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</si>
  <si>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</si>
  <si>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</si>
  <si>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</si>
  <si>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</si>
  <si>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</si>
  <si>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</si>
  <si>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</si>
  <si>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</si>
  <si>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</si>
  <si>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</si>
  <si>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</si>
  <si>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</si>
  <si>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</si>
  <si>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</si>
  <si>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</si>
  <si>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</si>
  <si>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</si>
  <si>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</si>
  <si>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</si>
  <si>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</si>
  <si>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</si>
  <si>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</si>
  <si>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</si>
  <si>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</si>
  <si>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</si>
  <si>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</si>
  <si>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</si>
  <si>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</si>
  <si>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</si>
  <si>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</si>
  <si>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</si>
  <si>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</si>
  <si>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</si>
  <si>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</si>
  <si>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</si>
  <si>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</si>
  <si>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</si>
  <si>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</si>
  <si>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</si>
  <si>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</si>
  <si>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</si>
  <si>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</si>
  <si>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</si>
  <si>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</si>
  <si>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</si>
  <si>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</si>
  <si>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</si>
  <si>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</si>
  <si>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</si>
  <si>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Atk_2</t>
    <phoneticPr fontId="1" type="noConversion"/>
  </si>
  <si>
    <t>shotArrow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</si>
  <si>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</si>
  <si>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</si>
  <si>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</si>
  <si>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</si>
  <si>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</si>
  <si>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</si>
  <si>
    <t>assassin</t>
    <phoneticPr fontId="1" type="noConversion"/>
  </si>
  <si>
    <t>암살자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</si>
</sst>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1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1" xfId="1" applyNumberFormat="1" applyFont="1" applyFill="1" applyBorder="1" applyAlignment="1">
      <alignment horizontal="center" vertical="center"/>
    </xf>
    <xf numFmtId="0" fontId="2" fillId="3" borderId="13" xfId="0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0</xdr:row>
          <xdr:rowOff>139700</xdr:rowOff>
        </xdr:from>
        <xdr:to>
          <xdr:col>20</xdr:col>
          <xdr:colOff>939800</xdr:colOff>
          <xdr:row>3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3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8" t="s">
        <v>52</v>
      </c>
      <c r="E1" s="6"/>
      <c r="F1" s="7"/>
      <c r="G1" s="7"/>
      <c r="H1" s="7"/>
      <c r="I1" s="7"/>
      <c r="J1" s="7"/>
      <c r="K1" s="7"/>
      <c r="L1" s="7"/>
      <c r="M1" s="29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65</v>
      </c>
      <c r="E2" s="7"/>
      <c r="F2" s="7"/>
      <c r="G2" s="7"/>
      <c r="H2" s="7"/>
      <c r="I2" s="7"/>
      <c r="J2" s="7"/>
      <c r="K2" s="7"/>
      <c r="L2" s="7"/>
      <c r="M2" s="29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9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66</v>
      </c>
      <c r="E4" s="7"/>
      <c r="F4" s="7"/>
      <c r="G4" s="7"/>
      <c r="H4" s="7"/>
      <c r="I4" s="7"/>
      <c r="J4" s="7"/>
      <c r="K4" s="7"/>
      <c r="L4" s="7"/>
      <c r="M4" s="29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67</v>
      </c>
      <c r="E5" s="7"/>
      <c r="F5" s="7"/>
      <c r="G5" s="7"/>
      <c r="H5" s="7"/>
      <c r="I5" s="7"/>
      <c r="J5" s="7"/>
      <c r="K5" s="7"/>
      <c r="L5" s="7"/>
      <c r="M5" s="29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255</v>
      </c>
      <c r="E6" s="7"/>
      <c r="F6" s="7"/>
      <c r="G6" s="7"/>
      <c r="H6" s="7"/>
      <c r="I6" s="7"/>
      <c r="J6" s="7"/>
      <c r="K6" s="7"/>
      <c r="L6" s="7"/>
      <c r="M6" s="29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9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9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9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9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9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9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9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9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9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9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9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9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9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9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30"/>
    </row>
    <row r="26" spans="1:36" ht="19" thickBot="1">
      <c r="A26" s="21" t="s">
        <v>47</v>
      </c>
      <c r="B26" s="13"/>
      <c r="C26" s="52" t="s">
        <v>42</v>
      </c>
      <c r="D26" s="53"/>
      <c r="E26" s="53"/>
      <c r="F26" s="54"/>
      <c r="G26" s="52" t="s">
        <v>9</v>
      </c>
      <c r="H26" s="54"/>
      <c r="I26" s="13"/>
      <c r="J26" s="24" t="s">
        <v>45</v>
      </c>
      <c r="K26" s="21" t="s">
        <v>46</v>
      </c>
      <c r="L26" s="13"/>
      <c r="M26" s="30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51">
        <f>COUNTA(A30:A109999)</f>
        <v>44</v>
      </c>
      <c r="B27" s="13"/>
      <c r="C27" s="55" t="s">
        <v>199</v>
      </c>
      <c r="D27" s="56"/>
      <c r="E27" s="56"/>
      <c r="F27" s="57"/>
      <c r="G27" s="55" t="s">
        <v>256</v>
      </c>
      <c r="H27" s="57"/>
      <c r="I27" s="13"/>
      <c r="J27" s="23" t="s">
        <v>43</v>
      </c>
      <c r="K27" s="22" t="s">
        <v>44</v>
      </c>
      <c r="L27" s="13"/>
      <c r="M27" s="31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3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151</v>
      </c>
      <c r="E30" s="20" t="s">
        <v>36</v>
      </c>
      <c r="F30" s="20" t="s">
        <v>192</v>
      </c>
      <c r="G30" s="20" t="s">
        <v>257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3" t="s">
        <v>229</v>
      </c>
    </row>
    <row r="31" spans="1:36">
      <c r="A31" s="19">
        <v>101</v>
      </c>
      <c r="B31" s="20" t="s">
        <v>16</v>
      </c>
      <c r="C31" s="20" t="s">
        <v>137</v>
      </c>
      <c r="D31" s="20" t="s">
        <v>149</v>
      </c>
      <c r="E31" s="20" t="s">
        <v>37</v>
      </c>
      <c r="F31" s="20" t="s">
        <v>49</v>
      </c>
      <c r="G31" s="20" t="s">
        <v>65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3" t="s">
        <v>230</v>
      </c>
    </row>
    <row r="32" spans="1:36">
      <c r="A32" s="19">
        <v>201</v>
      </c>
      <c r="B32" s="20" t="s">
        <v>16</v>
      </c>
      <c r="C32" s="20" t="s">
        <v>136</v>
      </c>
      <c r="D32" s="20" t="s">
        <v>150</v>
      </c>
      <c r="E32" s="20" t="s">
        <v>36</v>
      </c>
      <c r="F32" s="20" t="s">
        <v>193</v>
      </c>
      <c r="G32" s="20" t="s">
        <v>258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3" t="s">
        <v>231</v>
      </c>
    </row>
    <row r="33" spans="1:13">
      <c r="A33" s="19">
        <v>301</v>
      </c>
      <c r="B33" s="20" t="s">
        <v>16</v>
      </c>
      <c r="C33" s="20" t="s">
        <v>138</v>
      </c>
      <c r="D33" s="20" t="s">
        <v>152</v>
      </c>
      <c r="E33" s="20" t="s">
        <v>37</v>
      </c>
      <c r="F33" s="20" t="s">
        <v>194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3" t="s">
        <v>232</v>
      </c>
    </row>
    <row r="34" spans="1:13">
      <c r="A34" s="19">
        <v>401</v>
      </c>
      <c r="B34" s="20" t="s">
        <v>16</v>
      </c>
      <c r="C34" s="20" t="s">
        <v>114</v>
      </c>
      <c r="D34" s="20" t="s">
        <v>153</v>
      </c>
      <c r="E34" s="20" t="s">
        <v>37</v>
      </c>
      <c r="F34" s="20" t="s">
        <v>195</v>
      </c>
      <c r="G34" s="20" t="s">
        <v>67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3" t="s">
        <v>233</v>
      </c>
    </row>
    <row r="35" spans="1:13">
      <c r="A35" s="19">
        <v>501</v>
      </c>
      <c r="B35" s="20" t="s">
        <v>16</v>
      </c>
      <c r="C35" s="20" t="s">
        <v>139</v>
      </c>
      <c r="D35" s="20" t="s">
        <v>154</v>
      </c>
      <c r="E35" s="20" t="s">
        <v>37</v>
      </c>
      <c r="F35" s="20" t="s">
        <v>195</v>
      </c>
      <c r="G35" s="20" t="s">
        <v>66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3" t="s">
        <v>234</v>
      </c>
    </row>
    <row r="36" spans="1:13">
      <c r="A36" s="19">
        <v>1001</v>
      </c>
      <c r="B36" s="20" t="s">
        <v>18</v>
      </c>
      <c r="C36" s="20" t="s">
        <v>140</v>
      </c>
      <c r="D36" s="20" t="s">
        <v>155</v>
      </c>
      <c r="E36" s="20" t="s">
        <v>37</v>
      </c>
      <c r="F36" s="20" t="s">
        <v>196</v>
      </c>
      <c r="G36" s="20" t="s">
        <v>259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3" t="s">
        <v>235</v>
      </c>
    </row>
    <row r="37" spans="1:13">
      <c r="A37" s="19">
        <v>1101</v>
      </c>
      <c r="B37" s="20" t="s">
        <v>18</v>
      </c>
      <c r="C37" s="20" t="s">
        <v>141</v>
      </c>
      <c r="D37" s="20" t="s">
        <v>156</v>
      </c>
      <c r="E37" s="20" t="s">
        <v>37</v>
      </c>
      <c r="F37" s="20" t="s">
        <v>197</v>
      </c>
      <c r="G37" s="20" t="s">
        <v>257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3" t="s">
        <v>236</v>
      </c>
    </row>
    <row r="38" spans="1:13">
      <c r="A38" s="19">
        <v>1201</v>
      </c>
      <c r="B38" s="20" t="s">
        <v>18</v>
      </c>
      <c r="C38" s="20" t="s">
        <v>142</v>
      </c>
      <c r="D38" s="20" t="s">
        <v>157</v>
      </c>
      <c r="E38" s="20" t="s">
        <v>37</v>
      </c>
      <c r="F38" s="50" t="s">
        <v>198</v>
      </c>
      <c r="G38" s="20" t="s">
        <v>65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3" t="s">
        <v>237</v>
      </c>
    </row>
    <row r="39" spans="1:13">
      <c r="A39" s="19">
        <v>2001</v>
      </c>
      <c r="B39" s="20" t="s">
        <v>135</v>
      </c>
      <c r="C39" s="20" t="s">
        <v>143</v>
      </c>
      <c r="D39" s="20" t="s">
        <v>158</v>
      </c>
      <c r="E39" s="20" t="s">
        <v>37</v>
      </c>
      <c r="F39" s="20" t="s">
        <v>192</v>
      </c>
      <c r="G39" s="20" t="s">
        <v>260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3" t="s">
        <v>238</v>
      </c>
    </row>
    <row r="40" spans="1:13">
      <c r="A40" s="19">
        <v>2101</v>
      </c>
      <c r="B40" s="20" t="s">
        <v>135</v>
      </c>
      <c r="C40" s="20" t="s">
        <v>144</v>
      </c>
      <c r="D40" s="20" t="s">
        <v>159</v>
      </c>
      <c r="E40" s="20" t="s">
        <v>37</v>
      </c>
      <c r="F40" s="20" t="s">
        <v>200</v>
      </c>
      <c r="G40" s="20" t="s">
        <v>260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3" t="s">
        <v>239</v>
      </c>
    </row>
    <row r="41" spans="1:13">
      <c r="A41" s="19">
        <v>2201</v>
      </c>
      <c r="B41" s="20" t="s">
        <v>135</v>
      </c>
      <c r="C41" s="20" t="s">
        <v>145</v>
      </c>
      <c r="D41" s="20" t="s">
        <v>160</v>
      </c>
      <c r="E41" s="20" t="s">
        <v>37</v>
      </c>
      <c r="F41" s="20" t="s">
        <v>201</v>
      </c>
      <c r="G41" s="20" t="s">
        <v>260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3" t="s">
        <v>240</v>
      </c>
    </row>
    <row r="42" spans="1:13">
      <c r="A42" s="19">
        <v>2301</v>
      </c>
      <c r="B42" s="20" t="s">
        <v>135</v>
      </c>
      <c r="C42" s="20" t="s">
        <v>146</v>
      </c>
      <c r="D42" s="20" t="s">
        <v>161</v>
      </c>
      <c r="E42" s="20" t="s">
        <v>37</v>
      </c>
      <c r="F42" s="20" t="s">
        <v>202</v>
      </c>
      <c r="G42" s="20" t="s">
        <v>260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3" t="s">
        <v>241</v>
      </c>
    </row>
    <row r="43" spans="1:13">
      <c r="A43" s="19">
        <v>2401</v>
      </c>
      <c r="B43" s="20" t="s">
        <v>135</v>
      </c>
      <c r="C43" s="20" t="s">
        <v>147</v>
      </c>
      <c r="D43" s="20" t="s">
        <v>162</v>
      </c>
      <c r="E43" s="20" t="s">
        <v>37</v>
      </c>
      <c r="F43" s="20" t="s">
        <v>203</v>
      </c>
      <c r="G43" s="20" t="s">
        <v>260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3" t="s">
        <v>242</v>
      </c>
    </row>
    <row r="44" spans="1:13">
      <c r="A44" s="19">
        <v>2501</v>
      </c>
      <c r="B44" s="20" t="s">
        <v>135</v>
      </c>
      <c r="C44" s="20" t="s">
        <v>148</v>
      </c>
      <c r="D44" s="20" t="s">
        <v>163</v>
      </c>
      <c r="E44" s="20" t="s">
        <v>37</v>
      </c>
      <c r="F44" s="20" t="s">
        <v>204</v>
      </c>
      <c r="G44" s="20" t="s">
        <v>65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3" t="s">
        <v>243</v>
      </c>
    </row>
    <row r="45" spans="1:13">
      <c r="A45" s="19">
        <v>3001</v>
      </c>
      <c r="B45" s="20" t="s">
        <v>134</v>
      </c>
      <c r="D45" s="20" t="s">
        <v>167</v>
      </c>
      <c r="E45" s="20" t="s">
        <v>37</v>
      </c>
      <c r="F45" s="20" t="s">
        <v>205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3" t="s">
        <v>244</v>
      </c>
    </row>
    <row r="46" spans="1:13">
      <c r="A46" s="19">
        <v>3002</v>
      </c>
      <c r="B46" s="20" t="s">
        <v>134</v>
      </c>
      <c r="D46" s="20" t="s">
        <v>166</v>
      </c>
      <c r="E46" s="20" t="s">
        <v>37</v>
      </c>
      <c r="F46" s="20" t="s">
        <v>206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3" t="s">
        <v>245</v>
      </c>
    </row>
    <row r="47" spans="1:13">
      <c r="A47" s="19">
        <v>3003</v>
      </c>
      <c r="B47" s="20" t="s">
        <v>134</v>
      </c>
      <c r="D47" s="20" t="s">
        <v>165</v>
      </c>
      <c r="E47" s="20" t="s">
        <v>38</v>
      </c>
      <c r="F47" s="50" t="s">
        <v>207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3" t="s">
        <v>246</v>
      </c>
    </row>
    <row r="48" spans="1:13">
      <c r="A48" s="19">
        <v>3004</v>
      </c>
      <c r="B48" s="20" t="s">
        <v>134</v>
      </c>
      <c r="D48" s="20" t="s">
        <v>164</v>
      </c>
      <c r="E48" s="20" t="s">
        <v>38</v>
      </c>
      <c r="F48" s="20" t="s">
        <v>208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3" t="s">
        <v>247</v>
      </c>
    </row>
    <row r="49" spans="1:13">
      <c r="A49" s="19">
        <v>4001</v>
      </c>
      <c r="B49" s="20" t="s">
        <v>133</v>
      </c>
      <c r="D49" s="20" t="s">
        <v>168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3" t="s">
        <v>248</v>
      </c>
    </row>
    <row r="50" spans="1:13">
      <c r="A50" s="19">
        <v>4002</v>
      </c>
      <c r="B50" s="20" t="s">
        <v>133</v>
      </c>
      <c r="D50" s="20" t="s">
        <v>169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3" t="s">
        <v>249</v>
      </c>
    </row>
    <row r="51" spans="1:13">
      <c r="A51" s="19">
        <v>4003</v>
      </c>
      <c r="B51" s="20" t="s">
        <v>133</v>
      </c>
      <c r="D51" s="20" t="s">
        <v>170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3" t="s">
        <v>250</v>
      </c>
    </row>
    <row r="52" spans="1:13">
      <c r="A52" s="19">
        <v>4004</v>
      </c>
      <c r="B52" s="20" t="s">
        <v>133</v>
      </c>
      <c r="D52" s="20" t="s">
        <v>171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3" t="s">
        <v>250</v>
      </c>
    </row>
    <row r="53" spans="1:13">
      <c r="A53" s="19">
        <v>4005</v>
      </c>
      <c r="B53" s="20" t="s">
        <v>133</v>
      </c>
      <c r="D53" s="20" t="s">
        <v>172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3" t="s">
        <v>251</v>
      </c>
    </row>
    <row r="54" spans="1:13">
      <c r="A54" s="19">
        <v>4006</v>
      </c>
      <c r="B54" s="20" t="s">
        <v>21</v>
      </c>
      <c r="D54" s="20" t="s">
        <v>173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3" t="s">
        <v>252</v>
      </c>
    </row>
    <row r="55" spans="1:13">
      <c r="A55" s="19">
        <v>5001</v>
      </c>
      <c r="B55" s="20" t="s">
        <v>132</v>
      </c>
      <c r="D55" s="20" t="s">
        <v>174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3" t="s">
        <v>211</v>
      </c>
    </row>
    <row r="56" spans="1:13">
      <c r="A56" s="19">
        <v>5002</v>
      </c>
      <c r="B56" s="20" t="s">
        <v>132</v>
      </c>
      <c r="D56" s="20" t="s">
        <v>175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3" t="s">
        <v>212</v>
      </c>
    </row>
    <row r="57" spans="1:13">
      <c r="A57" s="19">
        <v>5003</v>
      </c>
      <c r="B57" s="20" t="s">
        <v>132</v>
      </c>
      <c r="D57" s="20" t="s">
        <v>176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3" t="s">
        <v>213</v>
      </c>
    </row>
    <row r="58" spans="1:13">
      <c r="A58" s="19">
        <v>5004</v>
      </c>
      <c r="B58" s="20" t="s">
        <v>132</v>
      </c>
      <c r="D58" s="20" t="s">
        <v>177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3" t="s">
        <v>214</v>
      </c>
    </row>
    <row r="59" spans="1:13">
      <c r="A59" s="19">
        <v>5005</v>
      </c>
      <c r="B59" s="20" t="s">
        <v>132</v>
      </c>
      <c r="D59" s="20" t="s">
        <v>178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3" t="s">
        <v>215</v>
      </c>
    </row>
    <row r="60" spans="1:13">
      <c r="A60" s="19">
        <v>5006</v>
      </c>
      <c r="B60" s="20" t="s">
        <v>132</v>
      </c>
      <c r="D60" s="20" t="s">
        <v>179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3" t="s">
        <v>216</v>
      </c>
    </row>
    <row r="61" spans="1:13">
      <c r="A61" s="19">
        <v>5007</v>
      </c>
      <c r="B61" s="20" t="s">
        <v>132</v>
      </c>
      <c r="D61" s="20" t="s">
        <v>180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3" t="s">
        <v>217</v>
      </c>
    </row>
    <row r="62" spans="1:13">
      <c r="A62" s="19">
        <v>5008</v>
      </c>
      <c r="B62" s="20" t="s">
        <v>132</v>
      </c>
      <c r="D62" s="20" t="s">
        <v>181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3" t="s">
        <v>218</v>
      </c>
    </row>
    <row r="63" spans="1:13">
      <c r="A63" s="19">
        <v>5009</v>
      </c>
      <c r="B63" s="20" t="s">
        <v>132</v>
      </c>
      <c r="D63" s="20" t="s">
        <v>220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3" t="s">
        <v>219</v>
      </c>
    </row>
    <row r="64" spans="1:13">
      <c r="A64" s="19">
        <v>5010</v>
      </c>
      <c r="B64" s="20" t="s">
        <v>132</v>
      </c>
      <c r="D64" s="20" t="s">
        <v>182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3" t="s">
        <v>225</v>
      </c>
    </row>
    <row r="65" spans="1:13">
      <c r="A65" s="19">
        <v>5011</v>
      </c>
      <c r="B65" s="20" t="s">
        <v>132</v>
      </c>
      <c r="D65" s="20" t="s">
        <v>184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3" t="s">
        <v>221</v>
      </c>
    </row>
    <row r="66" spans="1:13">
      <c r="A66" s="19">
        <v>5012</v>
      </c>
      <c r="B66" s="20" t="s">
        <v>132</v>
      </c>
      <c r="D66" s="20" t="s">
        <v>183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3" t="s">
        <v>222</v>
      </c>
    </row>
    <row r="67" spans="1:13">
      <c r="A67" s="19">
        <v>5013</v>
      </c>
      <c r="B67" s="20" t="s">
        <v>132</v>
      </c>
      <c r="D67" s="20" t="s">
        <v>185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3" t="s">
        <v>223</v>
      </c>
    </row>
    <row r="68" spans="1:13">
      <c r="A68" s="19">
        <v>5014</v>
      </c>
      <c r="B68" s="20" t="s">
        <v>132</v>
      </c>
      <c r="D68" s="20" t="s">
        <v>186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3" t="s">
        <v>224</v>
      </c>
    </row>
    <row r="69" spans="1:13">
      <c r="A69" s="19">
        <v>5015</v>
      </c>
      <c r="B69" s="20" t="s">
        <v>132</v>
      </c>
      <c r="D69" s="20" t="s">
        <v>187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3" t="s">
        <v>226</v>
      </c>
    </row>
    <row r="70" spans="1:13">
      <c r="A70" s="19">
        <v>5016</v>
      </c>
      <c r="B70" s="20" t="s">
        <v>132</v>
      </c>
      <c r="D70" s="20" t="s">
        <v>188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3" t="s">
        <v>227</v>
      </c>
    </row>
    <row r="71" spans="1:13">
      <c r="A71" s="19">
        <v>5017</v>
      </c>
      <c r="B71" s="20" t="s">
        <v>132</v>
      </c>
      <c r="D71" s="20" t="s">
        <v>189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3" t="s">
        <v>228</v>
      </c>
    </row>
    <row r="72" spans="1:13">
      <c r="A72" s="19">
        <v>5018</v>
      </c>
      <c r="B72" s="20" t="s">
        <v>132</v>
      </c>
      <c r="D72" s="20" t="s">
        <v>190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3" t="s">
        <v>210</v>
      </c>
    </row>
    <row r="73" spans="1:13">
      <c r="A73" s="19">
        <v>5019</v>
      </c>
      <c r="B73" s="20" t="s">
        <v>132</v>
      </c>
      <c r="D73" s="20" t="s">
        <v>191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3" t="s">
        <v>209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446-00CA-2147-B3C8-86F1B3A448DC}">
  <sheetPr codeName="Sheet2"/>
  <dimension ref="A1:AJ20"/>
  <sheetViews>
    <sheetView tabSelected="1" topLeftCell="E1" workbookViewId="0">
      <pane ySplit="6" topLeftCell="A7" activePane="bottomLeft" state="frozen"/>
      <selection pane="bottomLeft" activeCell="E7" sqref="E7"/>
    </sheetView>
  </sheetViews>
  <sheetFormatPr baseColWidth="10" defaultColWidth="10.7109375" defaultRowHeight="15"/>
  <cols>
    <col min="1" max="1" width="7.7109375" style="19" customWidth="1"/>
    <col min="2" max="2" width="10.7109375" style="20"/>
    <col min="3" max="3" width="12.7109375" style="20" customWidth="1"/>
    <col min="4" max="4" width="8.42578125" style="20" customWidth="1"/>
    <col min="5" max="5" width="14.140625" style="20" customWidth="1"/>
    <col min="6" max="6" width="8.7109375" style="38" customWidth="1"/>
    <col min="7" max="11" width="8.7109375" style="39" customWidth="1"/>
    <col min="12" max="12" width="8.7109375" style="40" customWidth="1"/>
    <col min="13" max="13" width="8.7109375" style="38" customWidth="1"/>
    <col min="14" max="18" width="8.7109375" style="39" customWidth="1"/>
    <col min="19" max="19" width="8.7109375" style="40" customWidth="1"/>
    <col min="20" max="20" width="10.7109375" style="38" customWidth="1"/>
    <col min="21" max="21" width="10.7109375" style="39" customWidth="1"/>
    <col min="22" max="22" width="12.7109375" style="33" customWidth="1"/>
    <col min="23" max="23" width="5.7109375" style="38" customWidth="1"/>
    <col min="24" max="24" width="5.7109375" style="33" customWidth="1"/>
    <col min="25" max="25" width="9.7109375" style="49" customWidth="1"/>
    <col min="26" max="29" width="9.7109375" style="39" customWidth="1"/>
    <col min="30" max="30" width="9.7109375" style="33" customWidth="1"/>
    <col min="31" max="16384" width="10.7109375" style="20"/>
  </cols>
  <sheetData>
    <row r="1" spans="1:36" s="12" customFormat="1">
      <c r="A1" s="11"/>
      <c r="F1" s="13"/>
      <c r="G1" s="13"/>
      <c r="H1" s="13"/>
      <c r="I1" s="13"/>
      <c r="J1" s="13"/>
      <c r="K1" s="13"/>
      <c r="L1" s="45"/>
      <c r="M1" s="13"/>
      <c r="N1" s="13"/>
      <c r="O1" s="13"/>
      <c r="P1" s="13"/>
      <c r="Q1" s="13"/>
      <c r="R1" s="13"/>
      <c r="S1" s="45"/>
      <c r="T1" s="13"/>
      <c r="U1" s="13"/>
      <c r="V1" s="13"/>
      <c r="W1" s="13"/>
      <c r="X1" s="13"/>
    </row>
    <row r="2" spans="1:36" ht="16" thickBot="1">
      <c r="A2" s="11"/>
      <c r="B2" s="12"/>
      <c r="C2" s="12"/>
      <c r="D2" s="12"/>
      <c r="E2" s="12"/>
      <c r="F2" s="13"/>
      <c r="G2" s="13"/>
      <c r="H2" s="13"/>
      <c r="I2" s="13"/>
      <c r="J2" s="13"/>
      <c r="K2" s="13"/>
      <c r="L2" s="45"/>
      <c r="M2" s="13"/>
      <c r="N2" s="13"/>
      <c r="O2" s="13"/>
      <c r="P2" s="13"/>
      <c r="Q2" s="13"/>
      <c r="R2" s="13"/>
      <c r="S2" s="45"/>
      <c r="T2" s="13"/>
      <c r="U2" s="13"/>
      <c r="V2" s="13"/>
      <c r="W2" s="13"/>
      <c r="X2" s="13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</row>
    <row r="3" spans="1:36" ht="16" thickBot="1">
      <c r="A3" s="21" t="s">
        <v>96</v>
      </c>
      <c r="B3" s="12"/>
      <c r="C3" s="12"/>
      <c r="D3" s="12"/>
      <c r="E3" s="12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13"/>
      <c r="U3" s="13"/>
      <c r="V3" s="13"/>
      <c r="W3" s="13"/>
      <c r="X3" s="13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</row>
    <row r="4" spans="1:36" ht="16" thickBot="1">
      <c r="A4" s="51">
        <f>COUNTA(A7:A109976)</f>
        <v>14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46"/>
      <c r="M4" s="12"/>
      <c r="N4" s="12"/>
      <c r="O4" s="12"/>
      <c r="P4" s="12"/>
      <c r="Q4" s="12"/>
      <c r="R4" s="12"/>
      <c r="S4" s="47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</row>
    <row r="5" spans="1:36" ht="16" thickBot="1">
      <c r="A5" s="12"/>
      <c r="B5" s="12"/>
      <c r="C5" s="12"/>
      <c r="D5" s="12"/>
      <c r="E5" s="12"/>
      <c r="F5" s="58" t="s">
        <v>61</v>
      </c>
      <c r="G5" s="59"/>
      <c r="H5" s="59"/>
      <c r="I5" s="59"/>
      <c r="J5" s="59"/>
      <c r="K5" s="59"/>
      <c r="L5" s="60"/>
      <c r="M5" s="58" t="s">
        <v>62</v>
      </c>
      <c r="N5" s="59"/>
      <c r="O5" s="59"/>
      <c r="P5" s="59"/>
      <c r="Q5" s="59"/>
      <c r="R5" s="59"/>
      <c r="S5" s="60"/>
      <c r="T5" s="58" t="s">
        <v>63</v>
      </c>
      <c r="U5" s="59"/>
      <c r="V5" s="60"/>
      <c r="W5" s="58" t="s">
        <v>109</v>
      </c>
      <c r="X5" s="60"/>
      <c r="Y5" s="58" t="s">
        <v>111</v>
      </c>
      <c r="Z5" s="59"/>
      <c r="AA5" s="59"/>
      <c r="AB5" s="59"/>
      <c r="AC5" s="59"/>
      <c r="AD5" s="60"/>
    </row>
    <row r="6" spans="1:36" ht="16" thickBot="1">
      <c r="A6" s="25" t="s">
        <v>0</v>
      </c>
      <c r="B6" s="21" t="s">
        <v>2</v>
      </c>
      <c r="C6" s="21" t="s">
        <v>51</v>
      </c>
      <c r="D6" s="21" t="s">
        <v>52</v>
      </c>
      <c r="E6" s="27" t="s">
        <v>53</v>
      </c>
      <c r="F6" s="41" t="s">
        <v>54</v>
      </c>
      <c r="G6" s="42" t="s">
        <v>55</v>
      </c>
      <c r="H6" s="42" t="s">
        <v>56</v>
      </c>
      <c r="I6" s="42" t="s">
        <v>57</v>
      </c>
      <c r="J6" s="42" t="s">
        <v>58</v>
      </c>
      <c r="K6" s="42" t="s">
        <v>113</v>
      </c>
      <c r="L6" s="43" t="s">
        <v>59</v>
      </c>
      <c r="M6" s="25" t="s">
        <v>97</v>
      </c>
      <c r="N6" s="26" t="s">
        <v>98</v>
      </c>
      <c r="O6" s="26" t="s">
        <v>99</v>
      </c>
      <c r="P6" s="26" t="s">
        <v>100</v>
      </c>
      <c r="Q6" s="26" t="s">
        <v>101</v>
      </c>
      <c r="R6" s="26" t="s">
        <v>112</v>
      </c>
      <c r="S6" s="44" t="s">
        <v>102</v>
      </c>
      <c r="T6" s="25" t="s">
        <v>39</v>
      </c>
      <c r="U6" s="26" t="s">
        <v>38</v>
      </c>
      <c r="V6" s="27" t="s">
        <v>60</v>
      </c>
      <c r="W6" s="25" t="s">
        <v>107</v>
      </c>
      <c r="X6" s="27" t="s">
        <v>108</v>
      </c>
      <c r="Y6" s="25" t="s">
        <v>103</v>
      </c>
      <c r="Z6" s="26" t="s">
        <v>104</v>
      </c>
      <c r="AA6" s="26" t="s">
        <v>105</v>
      </c>
      <c r="AB6" s="26" t="s">
        <v>253</v>
      </c>
      <c r="AC6" s="26" t="s">
        <v>106</v>
      </c>
      <c r="AD6" s="27" t="s">
        <v>110</v>
      </c>
    </row>
    <row r="7" spans="1:36">
      <c r="A7" s="19">
        <v>1</v>
      </c>
      <c r="B7" s="20" t="s">
        <v>68</v>
      </c>
      <c r="C7" s="20" t="s">
        <v>69</v>
      </c>
      <c r="D7" s="20" t="s">
        <v>64</v>
      </c>
      <c r="E7" s="20" t="s">
        <v>70</v>
      </c>
      <c r="F7" s="34">
        <v>200</v>
      </c>
      <c r="G7" s="35">
        <v>5</v>
      </c>
      <c r="H7" s="35">
        <v>5</v>
      </c>
      <c r="I7" s="35">
        <v>5</v>
      </c>
      <c r="J7" s="35">
        <v>5</v>
      </c>
      <c r="K7" s="35">
        <v>1</v>
      </c>
      <c r="L7" s="36">
        <v>0.1</v>
      </c>
      <c r="M7" s="34">
        <v>5</v>
      </c>
      <c r="N7" s="35">
        <v>0.5</v>
      </c>
      <c r="O7" s="35">
        <v>0.5</v>
      </c>
      <c r="P7" s="35">
        <v>0.5</v>
      </c>
      <c r="Q7" s="35">
        <v>0.5</v>
      </c>
      <c r="R7" s="35">
        <v>0</v>
      </c>
      <c r="S7" s="36">
        <v>0.01</v>
      </c>
      <c r="T7" s="34" t="s">
        <v>71</v>
      </c>
      <c r="U7" s="35" t="s">
        <v>71</v>
      </c>
      <c r="V7" s="37" t="s">
        <v>72</v>
      </c>
      <c r="W7" s="34">
        <v>0</v>
      </c>
      <c r="X7" s="37">
        <v>-48</v>
      </c>
      <c r="Y7" s="48">
        <v>2</v>
      </c>
      <c r="Z7" s="35">
        <v>8</v>
      </c>
      <c r="AA7" s="35">
        <v>10</v>
      </c>
      <c r="AB7" s="35"/>
      <c r="AC7" s="35"/>
      <c r="AD7" s="37">
        <v>1</v>
      </c>
    </row>
    <row r="8" spans="1:36">
      <c r="A8" s="19">
        <v>2</v>
      </c>
      <c r="B8" s="20" t="s">
        <v>73</v>
      </c>
      <c r="C8" s="20" t="s">
        <v>74</v>
      </c>
      <c r="D8" s="20" t="s">
        <v>65</v>
      </c>
      <c r="E8" s="20" t="s">
        <v>75</v>
      </c>
      <c r="F8" s="38">
        <v>250</v>
      </c>
      <c r="G8" s="39">
        <v>12</v>
      </c>
      <c r="H8" s="39">
        <v>5</v>
      </c>
      <c r="I8" s="39">
        <v>8</v>
      </c>
      <c r="J8" s="39">
        <v>8</v>
      </c>
      <c r="K8" s="39">
        <v>0.5</v>
      </c>
      <c r="L8" s="40">
        <v>0.1</v>
      </c>
      <c r="M8" s="38">
        <v>7</v>
      </c>
      <c r="N8" s="39">
        <v>0.7</v>
      </c>
      <c r="O8" s="39">
        <v>0.3</v>
      </c>
      <c r="P8" s="39">
        <v>0.4</v>
      </c>
      <c r="Q8" s="39">
        <v>0.6</v>
      </c>
      <c r="R8" s="39">
        <v>0</v>
      </c>
      <c r="S8" s="40">
        <v>0.01</v>
      </c>
      <c r="T8" s="38" t="s">
        <v>76</v>
      </c>
      <c r="U8" s="39" t="s">
        <v>77</v>
      </c>
      <c r="V8" s="33" t="s">
        <v>78</v>
      </c>
      <c r="W8" s="38">
        <v>0</v>
      </c>
      <c r="X8" s="33">
        <v>-48</v>
      </c>
      <c r="Y8" s="49">
        <v>1</v>
      </c>
      <c r="Z8" s="39">
        <v>8</v>
      </c>
      <c r="AA8" s="39">
        <v>10</v>
      </c>
      <c r="AB8" s="39">
        <v>7</v>
      </c>
    </row>
    <row r="9" spans="1:36">
      <c r="A9" s="19">
        <v>3</v>
      </c>
      <c r="B9" s="20" t="s">
        <v>79</v>
      </c>
      <c r="C9" s="20" t="s">
        <v>80</v>
      </c>
      <c r="D9" s="20" t="s">
        <v>67</v>
      </c>
      <c r="E9" s="20" t="s">
        <v>81</v>
      </c>
      <c r="F9" s="38">
        <v>130</v>
      </c>
      <c r="G9" s="39">
        <v>4</v>
      </c>
      <c r="H9" s="39">
        <v>12</v>
      </c>
      <c r="I9" s="39">
        <v>6</v>
      </c>
      <c r="J9" s="39">
        <v>6</v>
      </c>
      <c r="K9" s="39">
        <v>0.5</v>
      </c>
      <c r="L9" s="40">
        <v>0.1</v>
      </c>
      <c r="M9" s="38">
        <v>4</v>
      </c>
      <c r="N9" s="39">
        <v>0.2</v>
      </c>
      <c r="O9" s="39">
        <v>0.7</v>
      </c>
      <c r="P9" s="39">
        <v>0.3</v>
      </c>
      <c r="Q9" s="39">
        <v>0.3</v>
      </c>
      <c r="R9" s="39">
        <v>0</v>
      </c>
      <c r="S9" s="40">
        <v>0.01</v>
      </c>
      <c r="T9" s="38" t="s">
        <v>82</v>
      </c>
      <c r="U9" s="39" t="s">
        <v>83</v>
      </c>
      <c r="V9" s="33" t="s">
        <v>84</v>
      </c>
      <c r="W9" s="38">
        <v>0</v>
      </c>
      <c r="X9" s="33">
        <v>-48</v>
      </c>
      <c r="Y9" s="49">
        <v>1</v>
      </c>
      <c r="Z9" s="39">
        <v>8</v>
      </c>
      <c r="AA9" s="39">
        <v>7</v>
      </c>
      <c r="AC9" s="39">
        <v>7</v>
      </c>
    </row>
    <row r="10" spans="1:36">
      <c r="A10" s="19">
        <v>4</v>
      </c>
      <c r="B10" s="20" t="s">
        <v>85</v>
      </c>
      <c r="C10" s="20" t="s">
        <v>86</v>
      </c>
      <c r="D10" s="20" t="s">
        <v>50</v>
      </c>
      <c r="E10" s="20" t="s">
        <v>87</v>
      </c>
      <c r="F10" s="38">
        <v>160</v>
      </c>
      <c r="G10" s="39">
        <v>8</v>
      </c>
      <c r="H10" s="39">
        <v>6</v>
      </c>
      <c r="I10" s="39">
        <v>15</v>
      </c>
      <c r="J10" s="39">
        <v>6</v>
      </c>
      <c r="K10" s="39">
        <v>1.2</v>
      </c>
      <c r="L10" s="40">
        <v>0.1</v>
      </c>
      <c r="M10" s="38">
        <v>5</v>
      </c>
      <c r="N10" s="39">
        <v>0.6</v>
      </c>
      <c r="O10" s="39">
        <v>0.5</v>
      </c>
      <c r="P10" s="39">
        <v>0.8</v>
      </c>
      <c r="Q10" s="39">
        <v>0.6</v>
      </c>
      <c r="R10" s="39">
        <v>0</v>
      </c>
      <c r="S10" s="40">
        <v>0.01</v>
      </c>
      <c r="T10" s="38" t="s">
        <v>254</v>
      </c>
      <c r="U10" s="39" t="s">
        <v>88</v>
      </c>
      <c r="V10" s="33" t="s">
        <v>89</v>
      </c>
      <c r="W10" s="38">
        <v>0</v>
      </c>
      <c r="X10" s="33">
        <v>-48</v>
      </c>
      <c r="Y10" s="49">
        <v>1</v>
      </c>
      <c r="Z10" s="39">
        <v>8</v>
      </c>
      <c r="AA10" s="39">
        <v>8</v>
      </c>
    </row>
    <row r="11" spans="1:36">
      <c r="A11" s="19">
        <v>5</v>
      </c>
      <c r="B11" s="20" t="s">
        <v>90</v>
      </c>
      <c r="C11" s="20" t="s">
        <v>91</v>
      </c>
      <c r="D11" s="20" t="s">
        <v>66</v>
      </c>
      <c r="E11" s="20" t="s">
        <v>92</v>
      </c>
      <c r="F11" s="38">
        <v>130</v>
      </c>
      <c r="G11" s="39">
        <v>5</v>
      </c>
      <c r="H11" s="39">
        <v>15</v>
      </c>
      <c r="I11" s="39">
        <v>5</v>
      </c>
      <c r="J11" s="39">
        <v>5</v>
      </c>
      <c r="K11" s="39">
        <v>0.5</v>
      </c>
      <c r="L11" s="40">
        <v>0.1</v>
      </c>
      <c r="M11" s="38">
        <v>4</v>
      </c>
      <c r="N11" s="39">
        <v>0.2</v>
      </c>
      <c r="O11" s="39">
        <v>0.75</v>
      </c>
      <c r="P11" s="39">
        <v>0.4</v>
      </c>
      <c r="Q11" s="39">
        <v>0.3</v>
      </c>
      <c r="R11" s="39">
        <v>0</v>
      </c>
      <c r="S11" s="40">
        <v>0.01</v>
      </c>
      <c r="T11" s="38" t="s">
        <v>93</v>
      </c>
      <c r="U11" s="39" t="s">
        <v>94</v>
      </c>
      <c r="V11" s="33" t="s">
        <v>95</v>
      </c>
      <c r="W11" s="38">
        <v>0</v>
      </c>
      <c r="X11" s="33">
        <v>-48</v>
      </c>
      <c r="Y11" s="49">
        <v>1</v>
      </c>
      <c r="AA11" s="39">
        <v>7</v>
      </c>
    </row>
    <row r="12" spans="1:36">
      <c r="A12" s="19">
        <v>6</v>
      </c>
      <c r="B12" s="20" t="s">
        <v>261</v>
      </c>
      <c r="C12" s="20" t="s">
        <v>262</v>
      </c>
      <c r="D12" s="20" t="s">
        <v>255</v>
      </c>
      <c r="E12" s="20" t="s">
        <v>92</v>
      </c>
      <c r="F12" s="38">
        <v>160</v>
      </c>
      <c r="G12" s="39">
        <v>8</v>
      </c>
      <c r="H12" s="39">
        <v>6</v>
      </c>
      <c r="I12" s="39">
        <v>15</v>
      </c>
      <c r="J12" s="39">
        <v>6</v>
      </c>
      <c r="K12" s="39">
        <v>1.2</v>
      </c>
      <c r="L12" s="40">
        <v>0.1</v>
      </c>
      <c r="M12" s="38">
        <v>5</v>
      </c>
      <c r="N12" s="39">
        <v>0.6</v>
      </c>
      <c r="O12" s="39">
        <v>0.5</v>
      </c>
      <c r="P12" s="39">
        <v>0.8</v>
      </c>
      <c r="Q12" s="39">
        <v>0.6</v>
      </c>
      <c r="R12" s="39">
        <v>0</v>
      </c>
      <c r="S12" s="40">
        <v>0.01</v>
      </c>
      <c r="T12" s="38" t="s">
        <v>76</v>
      </c>
      <c r="U12" s="39" t="s">
        <v>76</v>
      </c>
      <c r="V12" s="33" t="s">
        <v>76</v>
      </c>
      <c r="W12" s="38">
        <v>0</v>
      </c>
      <c r="X12" s="33">
        <v>-48</v>
      </c>
      <c r="Y12" s="49">
        <v>1</v>
      </c>
      <c r="Z12" s="39">
        <v>8</v>
      </c>
      <c r="AA12" s="39">
        <v>10</v>
      </c>
    </row>
    <row r="13" spans="1:36">
      <c r="A13" s="19">
        <v>10001</v>
      </c>
      <c r="B13" s="20" t="s">
        <v>115</v>
      </c>
      <c r="C13" s="20" t="s">
        <v>117</v>
      </c>
      <c r="D13" s="20" t="s">
        <v>65</v>
      </c>
      <c r="F13" s="38">
        <v>50</v>
      </c>
      <c r="G13" s="39">
        <v>4</v>
      </c>
      <c r="H13" s="39">
        <v>4</v>
      </c>
      <c r="I13" s="39">
        <v>4</v>
      </c>
      <c r="J13" s="39">
        <v>4</v>
      </c>
      <c r="K13" s="39">
        <v>1</v>
      </c>
      <c r="L13" s="40">
        <v>0.05</v>
      </c>
      <c r="M13" s="38">
        <v>15</v>
      </c>
      <c r="N13" s="39">
        <v>1</v>
      </c>
      <c r="O13" s="39">
        <v>1</v>
      </c>
      <c r="P13" s="39">
        <v>1</v>
      </c>
      <c r="Q13" s="39">
        <v>1</v>
      </c>
      <c r="R13" s="39">
        <v>0</v>
      </c>
      <c r="S13" s="40">
        <v>0.01</v>
      </c>
      <c r="T13" s="38" t="s">
        <v>76</v>
      </c>
      <c r="U13" s="39" t="s">
        <v>76</v>
      </c>
      <c r="V13" s="33" t="s">
        <v>76</v>
      </c>
      <c r="W13" s="38">
        <v>0</v>
      </c>
      <c r="X13" s="33">
        <v>-48</v>
      </c>
      <c r="Y13" s="49">
        <v>1</v>
      </c>
      <c r="Z13" s="39">
        <v>8</v>
      </c>
      <c r="AA13" s="39">
        <v>10</v>
      </c>
    </row>
    <row r="14" spans="1:36">
      <c r="A14" s="19">
        <v>10002</v>
      </c>
      <c r="B14" s="20" t="s">
        <v>116</v>
      </c>
      <c r="C14" s="20" t="s">
        <v>118</v>
      </c>
      <c r="D14" s="20" t="s">
        <v>65</v>
      </c>
      <c r="F14" s="38">
        <v>100</v>
      </c>
      <c r="G14" s="39">
        <v>7</v>
      </c>
      <c r="H14" s="39">
        <v>4</v>
      </c>
      <c r="I14" s="39">
        <v>4</v>
      </c>
      <c r="J14" s="39">
        <v>4</v>
      </c>
      <c r="K14" s="39">
        <v>1</v>
      </c>
      <c r="L14" s="40">
        <v>0.08</v>
      </c>
      <c r="M14" s="38">
        <v>15</v>
      </c>
      <c r="N14" s="39">
        <v>1</v>
      </c>
      <c r="O14" s="39">
        <v>1</v>
      </c>
      <c r="P14" s="39">
        <v>1</v>
      </c>
      <c r="Q14" s="39">
        <v>1</v>
      </c>
      <c r="R14" s="39">
        <v>0</v>
      </c>
      <c r="S14" s="40">
        <v>0.01</v>
      </c>
      <c r="T14" s="38" t="s">
        <v>76</v>
      </c>
      <c r="U14" s="39" t="s">
        <v>76</v>
      </c>
      <c r="V14" s="33" t="s">
        <v>76</v>
      </c>
      <c r="W14" s="38">
        <v>0</v>
      </c>
      <c r="X14" s="33">
        <v>-48</v>
      </c>
      <c r="Y14" s="49">
        <v>1</v>
      </c>
      <c r="Z14" s="39">
        <v>8</v>
      </c>
      <c r="AA14" s="39">
        <v>10</v>
      </c>
    </row>
    <row r="15" spans="1:36">
      <c r="A15" s="19">
        <v>10003</v>
      </c>
      <c r="B15" s="20" t="s">
        <v>119</v>
      </c>
      <c r="C15" s="20" t="s">
        <v>120</v>
      </c>
      <c r="D15" s="20" t="s">
        <v>65</v>
      </c>
      <c r="F15" s="38">
        <v>100</v>
      </c>
      <c r="G15" s="39">
        <v>7</v>
      </c>
      <c r="H15" s="39">
        <v>4</v>
      </c>
      <c r="I15" s="39">
        <v>4</v>
      </c>
      <c r="J15" s="39">
        <v>4</v>
      </c>
      <c r="K15" s="39">
        <v>1</v>
      </c>
      <c r="L15" s="40">
        <v>0.08</v>
      </c>
      <c r="M15" s="38">
        <v>15</v>
      </c>
      <c r="N15" s="39">
        <v>1</v>
      </c>
      <c r="O15" s="39">
        <v>1</v>
      </c>
      <c r="P15" s="39">
        <v>1</v>
      </c>
      <c r="Q15" s="39">
        <v>1</v>
      </c>
      <c r="R15" s="39">
        <v>0</v>
      </c>
      <c r="S15" s="40">
        <v>0.01</v>
      </c>
      <c r="T15" s="38" t="s">
        <v>76</v>
      </c>
      <c r="U15" s="39" t="s">
        <v>76</v>
      </c>
      <c r="V15" s="33" t="s">
        <v>76</v>
      </c>
      <c r="W15" s="38">
        <v>0</v>
      </c>
      <c r="X15" s="33">
        <v>-48</v>
      </c>
      <c r="Y15" s="49">
        <v>1</v>
      </c>
      <c r="Z15" s="39">
        <v>8</v>
      </c>
      <c r="AA15" s="39">
        <v>10</v>
      </c>
    </row>
    <row r="16" spans="1:36">
      <c r="A16" s="19">
        <v>10004</v>
      </c>
      <c r="B16" s="20" t="s">
        <v>130</v>
      </c>
      <c r="C16" s="20" t="s">
        <v>131</v>
      </c>
      <c r="D16" s="20" t="s">
        <v>65</v>
      </c>
      <c r="F16" s="38">
        <v>100</v>
      </c>
      <c r="G16" s="39">
        <v>7</v>
      </c>
      <c r="H16" s="39">
        <v>4</v>
      </c>
      <c r="I16" s="39">
        <v>4</v>
      </c>
      <c r="J16" s="39">
        <v>4</v>
      </c>
      <c r="K16" s="39">
        <v>1</v>
      </c>
      <c r="L16" s="40">
        <v>0.08</v>
      </c>
      <c r="M16" s="38">
        <v>15</v>
      </c>
      <c r="N16" s="39">
        <v>1</v>
      </c>
      <c r="O16" s="39">
        <v>1</v>
      </c>
      <c r="P16" s="39">
        <v>1</v>
      </c>
      <c r="Q16" s="39">
        <v>1</v>
      </c>
      <c r="R16" s="39">
        <v>0</v>
      </c>
      <c r="S16" s="40">
        <v>0.01</v>
      </c>
      <c r="T16" s="38" t="s">
        <v>76</v>
      </c>
      <c r="U16" s="39" t="s">
        <v>76</v>
      </c>
      <c r="V16" s="33" t="s">
        <v>76</v>
      </c>
      <c r="W16" s="38">
        <v>0</v>
      </c>
      <c r="X16" s="33">
        <v>-48</v>
      </c>
      <c r="Y16" s="49">
        <v>1</v>
      </c>
      <c r="Z16" s="39">
        <v>8</v>
      </c>
      <c r="AA16" s="39">
        <v>10</v>
      </c>
    </row>
    <row r="17" spans="1:27">
      <c r="A17" s="19">
        <v>10005</v>
      </c>
      <c r="B17" s="20" t="s">
        <v>128</v>
      </c>
      <c r="C17" s="20" t="s">
        <v>129</v>
      </c>
      <c r="D17" s="20" t="s">
        <v>65</v>
      </c>
      <c r="F17" s="38">
        <v>100</v>
      </c>
      <c r="G17" s="39">
        <v>7</v>
      </c>
      <c r="H17" s="39">
        <v>4</v>
      </c>
      <c r="I17" s="39">
        <v>4</v>
      </c>
      <c r="J17" s="39">
        <v>4</v>
      </c>
      <c r="K17" s="39">
        <v>1</v>
      </c>
      <c r="L17" s="40">
        <v>0.08</v>
      </c>
      <c r="M17" s="38">
        <v>15</v>
      </c>
      <c r="N17" s="39">
        <v>1</v>
      </c>
      <c r="O17" s="39">
        <v>1</v>
      </c>
      <c r="P17" s="39">
        <v>1</v>
      </c>
      <c r="Q17" s="39">
        <v>1</v>
      </c>
      <c r="R17" s="39">
        <v>0</v>
      </c>
      <c r="S17" s="40">
        <v>0.01</v>
      </c>
      <c r="T17" s="38" t="s">
        <v>76</v>
      </c>
      <c r="U17" s="39" t="s">
        <v>76</v>
      </c>
      <c r="V17" s="33" t="s">
        <v>76</v>
      </c>
      <c r="W17" s="38">
        <v>0</v>
      </c>
      <c r="X17" s="33">
        <v>-48</v>
      </c>
      <c r="Y17" s="49">
        <v>1</v>
      </c>
      <c r="Z17" s="39">
        <v>8</v>
      </c>
      <c r="AA17" s="39">
        <v>10</v>
      </c>
    </row>
    <row r="18" spans="1:27">
      <c r="A18" s="19">
        <v>10006</v>
      </c>
      <c r="B18" s="20" t="s">
        <v>126</v>
      </c>
      <c r="C18" s="20" t="s">
        <v>127</v>
      </c>
      <c r="D18" s="20" t="s">
        <v>65</v>
      </c>
      <c r="F18" s="38">
        <v>100</v>
      </c>
      <c r="G18" s="39">
        <v>7</v>
      </c>
      <c r="H18" s="39">
        <v>4</v>
      </c>
      <c r="I18" s="39">
        <v>4</v>
      </c>
      <c r="J18" s="39">
        <v>4</v>
      </c>
      <c r="K18" s="39">
        <v>1</v>
      </c>
      <c r="L18" s="40">
        <v>0.08</v>
      </c>
      <c r="M18" s="38">
        <v>15</v>
      </c>
      <c r="N18" s="39">
        <v>1</v>
      </c>
      <c r="O18" s="39">
        <v>1</v>
      </c>
      <c r="P18" s="39">
        <v>1</v>
      </c>
      <c r="Q18" s="39">
        <v>1</v>
      </c>
      <c r="R18" s="39">
        <v>0</v>
      </c>
      <c r="S18" s="40">
        <v>0.01</v>
      </c>
      <c r="T18" s="38" t="s">
        <v>76</v>
      </c>
      <c r="U18" s="39" t="s">
        <v>76</v>
      </c>
      <c r="V18" s="33" t="s">
        <v>76</v>
      </c>
      <c r="W18" s="38">
        <v>0</v>
      </c>
      <c r="X18" s="33">
        <v>-48</v>
      </c>
      <c r="Y18" s="49">
        <v>1</v>
      </c>
      <c r="Z18" s="39">
        <v>8</v>
      </c>
      <c r="AA18" s="39">
        <v>10</v>
      </c>
    </row>
    <row r="19" spans="1:27">
      <c r="A19" s="19">
        <v>10007</v>
      </c>
      <c r="B19" s="20" t="s">
        <v>124</v>
      </c>
      <c r="C19" s="20" t="s">
        <v>125</v>
      </c>
      <c r="D19" s="20" t="s">
        <v>66</v>
      </c>
      <c r="F19" s="38">
        <v>100</v>
      </c>
      <c r="G19" s="39">
        <v>7</v>
      </c>
      <c r="H19" s="39">
        <v>4</v>
      </c>
      <c r="I19" s="39">
        <v>4</v>
      </c>
      <c r="J19" s="39">
        <v>4</v>
      </c>
      <c r="K19" s="39">
        <v>1</v>
      </c>
      <c r="L19" s="40">
        <v>0.08</v>
      </c>
      <c r="M19" s="38">
        <v>15</v>
      </c>
      <c r="N19" s="39">
        <v>1</v>
      </c>
      <c r="O19" s="39">
        <v>1</v>
      </c>
      <c r="P19" s="39">
        <v>1</v>
      </c>
      <c r="Q19" s="39">
        <v>1</v>
      </c>
      <c r="R19" s="39">
        <v>0</v>
      </c>
      <c r="S19" s="40">
        <v>0.01</v>
      </c>
      <c r="T19" s="38" t="s">
        <v>76</v>
      </c>
      <c r="U19" s="39" t="s">
        <v>76</v>
      </c>
      <c r="V19" s="33" t="s">
        <v>76</v>
      </c>
      <c r="W19" s="38">
        <v>0</v>
      </c>
      <c r="X19" s="33">
        <v>-48</v>
      </c>
      <c r="Y19" s="49">
        <v>1</v>
      </c>
      <c r="Z19" s="39">
        <v>8</v>
      </c>
      <c r="AA19" s="39">
        <v>10</v>
      </c>
    </row>
    <row r="20" spans="1:27">
      <c r="A20" s="19">
        <v>10008</v>
      </c>
      <c r="B20" s="20" t="s">
        <v>122</v>
      </c>
      <c r="C20" s="20" t="s">
        <v>123</v>
      </c>
      <c r="D20" s="20" t="s">
        <v>66</v>
      </c>
      <c r="F20" s="38">
        <v>100</v>
      </c>
      <c r="G20" s="39">
        <v>7</v>
      </c>
      <c r="H20" s="39">
        <v>4</v>
      </c>
      <c r="I20" s="39">
        <v>4</v>
      </c>
      <c r="J20" s="39">
        <v>4</v>
      </c>
      <c r="K20" s="39">
        <v>1</v>
      </c>
      <c r="L20" s="40">
        <v>0.08</v>
      </c>
      <c r="M20" s="38">
        <v>30</v>
      </c>
      <c r="N20" s="39">
        <v>1.4</v>
      </c>
      <c r="O20" s="39">
        <v>1.4</v>
      </c>
      <c r="P20" s="39">
        <v>1.4</v>
      </c>
      <c r="Q20" s="39">
        <v>1.4</v>
      </c>
      <c r="R20" s="39">
        <v>0</v>
      </c>
      <c r="S20" s="40">
        <v>0.02</v>
      </c>
      <c r="T20" s="38" t="s">
        <v>76</v>
      </c>
      <c r="U20" s="39" t="s">
        <v>76</v>
      </c>
      <c r="V20" s="33" t="s">
        <v>121</v>
      </c>
      <c r="W20" s="38">
        <v>-140</v>
      </c>
      <c r="X20" s="33">
        <v>-258</v>
      </c>
      <c r="Y20" s="49">
        <v>7</v>
      </c>
      <c r="Z20" s="39">
        <v>7</v>
      </c>
      <c r="AA20" s="39">
        <v>9</v>
      </c>
    </row>
  </sheetData>
  <autoFilter ref="A6:AD6" xr:uid="{203D1E33-32BA-DD44-8C8F-02E159E4C9BE}">
    <sortState xmlns:xlrd2="http://schemas.microsoft.com/office/spreadsheetml/2017/richdata2" ref="A7:AD20">
      <sortCondition ref="A6:A20"/>
    </sortState>
  </autoFilter>
  <mergeCells count="6">
    <mergeCell ref="Y5:AD5"/>
    <mergeCell ref="F3:S3"/>
    <mergeCell ref="F5:L5"/>
    <mergeCell ref="M5:S5"/>
    <mergeCell ref="T5:V5"/>
    <mergeCell ref="W5:X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haracter_Export">
                <anchor moveWithCells="1" sizeWithCells="1">
                  <from>
                    <xdr:col>17</xdr:col>
                    <xdr:colOff>114300</xdr:colOff>
                    <xdr:row>0</xdr:row>
                    <xdr:rowOff>139700</xdr:rowOff>
                  </from>
                  <to>
                    <xdr:col>20</xdr:col>
                    <xdr:colOff>939800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0D4EEE-3F74-F742-AE68-6E8072AE1D54}">
          <x14:formula1>
            <xm:f>Items!$D$2:$D$6</xm:f>
          </x14:formula1>
          <xm:sqref>D7:D1048576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Items</vt:lpstr>
      <vt:lpstr>Characters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2019-07-05T05:05:57Z</dcterms:modified>
</cp:coreProperties>
</file>