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65728222-21E4-7D46-A3D3-C4ADFE6E4738}" xr6:coauthVersionLast="43" xr6:coauthVersionMax="43" xr10:uidLastSave="{00000000-0000-0000-0000-000000000000}"/>
  <bookViews>
    <workbookView xWindow="0" yWindow="0" windowWidth="28800" windowHeight="18000" activeTab="2" xr2:uid="{AACC6657-DF75-B24E-979F-10DF6B9789F6}"/>
  </bookViews>
  <sheets>
    <sheet name="Items" sheetId="1" state="hidden" r:id="rId1"/>
    <sheet name="Characters" sheetId="2" r:id="rId2"/>
    <sheet name="Floor" sheetId="5" r:id="rId3"/>
  </sheets>
  <definedNames>
    <definedName name="_xlnm._FilterDatabase" localSheetId="1" hidden="1">Characters!$A$6:$AD$6</definedName>
    <definedName name="_xlnm._FilterDatabase" localSheetId="0" hidden="1">Items!$A$29:$M$29</definedName>
    <definedName name="이미지">INDEX(Items!$P$2:$AJ$16,Items!XFD1,Items!A1)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X9" i="5" l="1"/>
  <c r="AY9" i="5"/>
  <c r="AZ9" i="5"/>
  <c r="BA9" i="5"/>
  <c r="BB9" i="5"/>
  <c r="BC9" i="5"/>
  <c r="AX10" i="5"/>
  <c r="AY10" i="5"/>
  <c r="AZ10" i="5"/>
  <c r="BA10" i="5"/>
  <c r="BB10" i="5"/>
  <c r="BC10" i="5"/>
  <c r="AX11" i="5"/>
  <c r="AY11" i="5"/>
  <c r="AZ11" i="5"/>
  <c r="BA11" i="5"/>
  <c r="BB11" i="5"/>
  <c r="BC11" i="5"/>
  <c r="AX12" i="5"/>
  <c r="AY12" i="5"/>
  <c r="AZ12" i="5"/>
  <c r="BA12" i="5"/>
  <c r="BB12" i="5"/>
  <c r="BC12" i="5"/>
  <c r="AX13" i="5"/>
  <c r="AY13" i="5"/>
  <c r="AZ13" i="5"/>
  <c r="BA13" i="5"/>
  <c r="BB13" i="5"/>
  <c r="BC13" i="5"/>
  <c r="AX14" i="5"/>
  <c r="AY14" i="5"/>
  <c r="AZ14" i="5"/>
  <c r="BA14" i="5"/>
  <c r="BB14" i="5"/>
  <c r="BC14" i="5"/>
  <c r="AX15" i="5"/>
  <c r="AY15" i="5"/>
  <c r="AZ15" i="5"/>
  <c r="BA15" i="5"/>
  <c r="BB15" i="5"/>
  <c r="BC15" i="5"/>
  <c r="AX16" i="5"/>
  <c r="AY16" i="5"/>
  <c r="AZ16" i="5"/>
  <c r="BA16" i="5"/>
  <c r="BB16" i="5"/>
  <c r="BC16" i="5"/>
  <c r="AX17" i="5"/>
  <c r="AY17" i="5"/>
  <c r="AZ17" i="5"/>
  <c r="BA17" i="5"/>
  <c r="BB17" i="5"/>
  <c r="BC17" i="5"/>
  <c r="AX18" i="5"/>
  <c r="AY18" i="5"/>
  <c r="AZ18" i="5"/>
  <c r="BA18" i="5"/>
  <c r="BB18" i="5"/>
  <c r="BC18" i="5"/>
  <c r="AX19" i="5"/>
  <c r="AY19" i="5"/>
  <c r="AZ19" i="5"/>
  <c r="BA19" i="5"/>
  <c r="BB19" i="5"/>
  <c r="BC19" i="5"/>
  <c r="AX20" i="5"/>
  <c r="AY20" i="5"/>
  <c r="AZ20" i="5"/>
  <c r="BA20" i="5"/>
  <c r="BB20" i="5"/>
  <c r="BC20" i="5"/>
  <c r="AX21" i="5"/>
  <c r="AY21" i="5"/>
  <c r="AZ21" i="5"/>
  <c r="BA21" i="5"/>
  <c r="BB21" i="5"/>
  <c r="BC21" i="5"/>
  <c r="AX22" i="5"/>
  <c r="AY22" i="5"/>
  <c r="AZ22" i="5"/>
  <c r="BA22" i="5"/>
  <c r="BB22" i="5"/>
  <c r="BC22" i="5"/>
  <c r="AX23" i="5"/>
  <c r="AY23" i="5"/>
  <c r="AZ23" i="5"/>
  <c r="BA23" i="5"/>
  <c r="BB23" i="5"/>
  <c r="BC23" i="5"/>
  <c r="AX24" i="5"/>
  <c r="AY24" i="5"/>
  <c r="AZ24" i="5"/>
  <c r="BA24" i="5"/>
  <c r="BB24" i="5"/>
  <c r="BC24" i="5"/>
  <c r="AX25" i="5"/>
  <c r="AY25" i="5"/>
  <c r="AZ25" i="5"/>
  <c r="BA25" i="5"/>
  <c r="BB25" i="5"/>
  <c r="BC25" i="5"/>
  <c r="AX26" i="5"/>
  <c r="AY26" i="5"/>
  <c r="AZ26" i="5"/>
  <c r="BA26" i="5"/>
  <c r="BB26" i="5"/>
  <c r="BC26" i="5"/>
  <c r="AX27" i="5"/>
  <c r="AY27" i="5"/>
  <c r="AZ27" i="5"/>
  <c r="BA27" i="5"/>
  <c r="BB27" i="5"/>
  <c r="BC27" i="5"/>
  <c r="AX28" i="5"/>
  <c r="AY28" i="5"/>
  <c r="AZ28" i="5"/>
  <c r="BA28" i="5"/>
  <c r="BB28" i="5"/>
  <c r="BC28" i="5"/>
  <c r="AX29" i="5"/>
  <c r="AY29" i="5"/>
  <c r="AZ29" i="5"/>
  <c r="BA29" i="5"/>
  <c r="BB29" i="5"/>
  <c r="BC29" i="5"/>
  <c r="AX30" i="5"/>
  <c r="AY30" i="5"/>
  <c r="AZ30" i="5"/>
  <c r="BA30" i="5"/>
  <c r="BB30" i="5"/>
  <c r="BC30" i="5"/>
  <c r="AX31" i="5"/>
  <c r="AY31" i="5"/>
  <c r="AZ31" i="5"/>
  <c r="BA31" i="5"/>
  <c r="BB31" i="5"/>
  <c r="BC31" i="5"/>
  <c r="AX32" i="5"/>
  <c r="AY32" i="5"/>
  <c r="AZ32" i="5"/>
  <c r="BA32" i="5"/>
  <c r="BB32" i="5"/>
  <c r="BC32" i="5"/>
  <c r="AX33" i="5"/>
  <c r="AY33" i="5"/>
  <c r="AZ33" i="5"/>
  <c r="BA33" i="5"/>
  <c r="BB33" i="5"/>
  <c r="BC33" i="5"/>
  <c r="AX34" i="5"/>
  <c r="AY34" i="5"/>
  <c r="AZ34" i="5"/>
  <c r="BA34" i="5"/>
  <c r="BB34" i="5"/>
  <c r="BC34" i="5"/>
  <c r="AX35" i="5"/>
  <c r="AY35" i="5"/>
  <c r="AZ35" i="5"/>
  <c r="BA35" i="5"/>
  <c r="BB35" i="5"/>
  <c r="BC35" i="5"/>
  <c r="AX36" i="5"/>
  <c r="AY36" i="5"/>
  <c r="AZ36" i="5"/>
  <c r="BA36" i="5"/>
  <c r="BB36" i="5"/>
  <c r="BC36" i="5"/>
  <c r="AX37" i="5"/>
  <c r="AY37" i="5"/>
  <c r="AZ37" i="5"/>
  <c r="BA37" i="5"/>
  <c r="BB37" i="5"/>
  <c r="BC37" i="5"/>
  <c r="AX38" i="5"/>
  <c r="AY38" i="5"/>
  <c r="AZ38" i="5"/>
  <c r="BA38" i="5"/>
  <c r="BB38" i="5"/>
  <c r="BC38" i="5"/>
  <c r="AX39" i="5"/>
  <c r="AY39" i="5"/>
  <c r="AZ39" i="5"/>
  <c r="BA39" i="5"/>
  <c r="BB39" i="5"/>
  <c r="BC39" i="5"/>
  <c r="AX40" i="5"/>
  <c r="AY40" i="5"/>
  <c r="AZ40" i="5"/>
  <c r="BA40" i="5"/>
  <c r="BB40" i="5"/>
  <c r="BC40" i="5"/>
  <c r="AX41" i="5"/>
  <c r="AY41" i="5"/>
  <c r="AZ41" i="5"/>
  <c r="BA41" i="5"/>
  <c r="BB41" i="5"/>
  <c r="BC41" i="5"/>
  <c r="AX42" i="5"/>
  <c r="AY42" i="5"/>
  <c r="AZ42" i="5"/>
  <c r="BA42" i="5"/>
  <c r="BB42" i="5"/>
  <c r="BC42" i="5"/>
  <c r="AX43" i="5"/>
  <c r="AY43" i="5"/>
  <c r="AZ43" i="5"/>
  <c r="BA43" i="5"/>
  <c r="BB43" i="5"/>
  <c r="BC43" i="5"/>
  <c r="AX44" i="5"/>
  <c r="AY44" i="5"/>
  <c r="AZ44" i="5"/>
  <c r="BA44" i="5"/>
  <c r="BB44" i="5"/>
  <c r="BC44" i="5"/>
  <c r="AX45" i="5"/>
  <c r="AY45" i="5"/>
  <c r="AZ45" i="5"/>
  <c r="BA45" i="5"/>
  <c r="BB45" i="5"/>
  <c r="BC45" i="5"/>
  <c r="AX46" i="5"/>
  <c r="AY46" i="5"/>
  <c r="AZ46" i="5"/>
  <c r="BA46" i="5"/>
  <c r="BB46" i="5"/>
  <c r="BC46" i="5"/>
  <c r="AX47" i="5"/>
  <c r="AY47" i="5"/>
  <c r="AZ47" i="5"/>
  <c r="BA47" i="5"/>
  <c r="BB47" i="5"/>
  <c r="BC47" i="5"/>
  <c r="AX48" i="5"/>
  <c r="AY48" i="5"/>
  <c r="AZ48" i="5"/>
  <c r="BA48" i="5"/>
  <c r="BB48" i="5"/>
  <c r="BC48" i="5"/>
  <c r="AX49" i="5"/>
  <c r="AY49" i="5"/>
  <c r="AZ49" i="5"/>
  <c r="BA49" i="5"/>
  <c r="BB49" i="5"/>
  <c r="BC49" i="5"/>
  <c r="AX50" i="5"/>
  <c r="AY50" i="5"/>
  <c r="AZ50" i="5"/>
  <c r="BA50" i="5"/>
  <c r="BB50" i="5"/>
  <c r="BC50" i="5"/>
  <c r="AX51" i="5"/>
  <c r="AY51" i="5"/>
  <c r="AZ51" i="5"/>
  <c r="BA51" i="5"/>
  <c r="BB51" i="5"/>
  <c r="BC51" i="5"/>
  <c r="AX52" i="5"/>
  <c r="AY52" i="5"/>
  <c r="AZ52" i="5"/>
  <c r="BA52" i="5"/>
  <c r="BB52" i="5"/>
  <c r="BC52" i="5"/>
  <c r="AX53" i="5"/>
  <c r="AY53" i="5"/>
  <c r="AZ53" i="5"/>
  <c r="BA53" i="5"/>
  <c r="BB53" i="5"/>
  <c r="BC53" i="5"/>
  <c r="AX54" i="5"/>
  <c r="AY54" i="5"/>
  <c r="AZ54" i="5"/>
  <c r="BA54" i="5"/>
  <c r="BB54" i="5"/>
  <c r="BC54" i="5"/>
  <c r="AX55" i="5"/>
  <c r="AY55" i="5"/>
  <c r="AZ55" i="5"/>
  <c r="BA55" i="5"/>
  <c r="BB55" i="5"/>
  <c r="BC55" i="5"/>
  <c r="AX56" i="5"/>
  <c r="AY56" i="5"/>
  <c r="AZ56" i="5"/>
  <c r="BA56" i="5"/>
  <c r="BB56" i="5"/>
  <c r="BC56" i="5"/>
  <c r="AX57" i="5"/>
  <c r="AY57" i="5"/>
  <c r="AZ57" i="5"/>
  <c r="BA57" i="5"/>
  <c r="BB57" i="5"/>
  <c r="BC57" i="5"/>
  <c r="AX58" i="5"/>
  <c r="AY58" i="5"/>
  <c r="AZ58" i="5"/>
  <c r="BA58" i="5"/>
  <c r="BB58" i="5"/>
  <c r="BC58" i="5"/>
  <c r="AX59" i="5"/>
  <c r="AY59" i="5"/>
  <c r="AZ59" i="5"/>
  <c r="BA59" i="5"/>
  <c r="BB59" i="5"/>
  <c r="BC59" i="5"/>
  <c r="AX60" i="5"/>
  <c r="AY60" i="5"/>
  <c r="AZ60" i="5"/>
  <c r="BA60" i="5"/>
  <c r="BB60" i="5"/>
  <c r="BC60" i="5"/>
  <c r="AX61" i="5"/>
  <c r="AY61" i="5"/>
  <c r="AZ61" i="5"/>
  <c r="BA61" i="5"/>
  <c r="BB61" i="5"/>
  <c r="BC61" i="5"/>
  <c r="AX62" i="5"/>
  <c r="AY62" i="5"/>
  <c r="AZ62" i="5"/>
  <c r="BA62" i="5"/>
  <c r="BB62" i="5"/>
  <c r="BC62" i="5"/>
  <c r="AX63" i="5"/>
  <c r="AY63" i="5"/>
  <c r="AZ63" i="5"/>
  <c r="BA63" i="5"/>
  <c r="BB63" i="5"/>
  <c r="BC63" i="5"/>
  <c r="AX64" i="5"/>
  <c r="AY64" i="5"/>
  <c r="AZ64" i="5"/>
  <c r="BA64" i="5"/>
  <c r="BB64" i="5"/>
  <c r="BC64" i="5"/>
  <c r="AX65" i="5"/>
  <c r="AY65" i="5"/>
  <c r="AZ65" i="5"/>
  <c r="BA65" i="5"/>
  <c r="BB65" i="5"/>
  <c r="BC65" i="5"/>
  <c r="AX66" i="5"/>
  <c r="AY66" i="5"/>
  <c r="AZ66" i="5"/>
  <c r="BA66" i="5"/>
  <c r="BB66" i="5"/>
  <c r="BC66" i="5"/>
  <c r="AX67" i="5"/>
  <c r="AY67" i="5"/>
  <c r="AZ67" i="5"/>
  <c r="BA67" i="5"/>
  <c r="BB67" i="5"/>
  <c r="BC67" i="5"/>
  <c r="AX68" i="5"/>
  <c r="AY68" i="5"/>
  <c r="AZ68" i="5"/>
  <c r="BA68" i="5"/>
  <c r="BB68" i="5"/>
  <c r="BC68" i="5"/>
  <c r="AX69" i="5"/>
  <c r="AY69" i="5"/>
  <c r="AZ69" i="5"/>
  <c r="BA69" i="5"/>
  <c r="BB69" i="5"/>
  <c r="BC69" i="5"/>
  <c r="AX70" i="5"/>
  <c r="AY70" i="5"/>
  <c r="AZ70" i="5"/>
  <c r="BA70" i="5"/>
  <c r="BB70" i="5"/>
  <c r="BC70" i="5"/>
  <c r="AX71" i="5"/>
  <c r="AY71" i="5"/>
  <c r="AZ71" i="5"/>
  <c r="BA71" i="5"/>
  <c r="BB71" i="5"/>
  <c r="BC71" i="5"/>
  <c r="AX72" i="5"/>
  <c r="AY72" i="5"/>
  <c r="AZ72" i="5"/>
  <c r="BA72" i="5"/>
  <c r="BB72" i="5"/>
  <c r="BC72" i="5"/>
  <c r="AX73" i="5"/>
  <c r="AY73" i="5"/>
  <c r="AZ73" i="5"/>
  <c r="BA73" i="5"/>
  <c r="BB73" i="5"/>
  <c r="BC73" i="5"/>
  <c r="AX74" i="5"/>
  <c r="AY74" i="5"/>
  <c r="AZ74" i="5"/>
  <c r="BA74" i="5"/>
  <c r="BB74" i="5"/>
  <c r="BC74" i="5"/>
  <c r="AX75" i="5"/>
  <c r="AY75" i="5"/>
  <c r="AZ75" i="5"/>
  <c r="BA75" i="5"/>
  <c r="BB75" i="5"/>
  <c r="BC75" i="5"/>
  <c r="AX76" i="5"/>
  <c r="AY76" i="5"/>
  <c r="AZ76" i="5"/>
  <c r="BA76" i="5"/>
  <c r="BB76" i="5"/>
  <c r="BC76" i="5"/>
  <c r="AX77" i="5"/>
  <c r="AY77" i="5"/>
  <c r="AZ77" i="5"/>
  <c r="BA77" i="5"/>
  <c r="BB77" i="5"/>
  <c r="BC77" i="5"/>
  <c r="AX78" i="5"/>
  <c r="AY78" i="5"/>
  <c r="AZ78" i="5"/>
  <c r="BA78" i="5"/>
  <c r="BB78" i="5"/>
  <c r="BC78" i="5"/>
  <c r="AX79" i="5"/>
  <c r="AY79" i="5"/>
  <c r="AZ79" i="5"/>
  <c r="BA79" i="5"/>
  <c r="BB79" i="5"/>
  <c r="BC79" i="5"/>
  <c r="AX80" i="5"/>
  <c r="AY80" i="5"/>
  <c r="AZ80" i="5"/>
  <c r="BA80" i="5"/>
  <c r="BB80" i="5"/>
  <c r="BC80" i="5"/>
  <c r="AX81" i="5"/>
  <c r="AY81" i="5"/>
  <c r="AZ81" i="5"/>
  <c r="BA81" i="5"/>
  <c r="BB81" i="5"/>
  <c r="BC81" i="5"/>
  <c r="AX82" i="5"/>
  <c r="AY82" i="5"/>
  <c r="AZ82" i="5"/>
  <c r="BA82" i="5"/>
  <c r="BB82" i="5"/>
  <c r="BC82" i="5"/>
  <c r="AX83" i="5"/>
  <c r="AY83" i="5"/>
  <c r="AZ83" i="5"/>
  <c r="BA83" i="5"/>
  <c r="BB83" i="5"/>
  <c r="BC83" i="5"/>
  <c r="AX84" i="5"/>
  <c r="AY84" i="5"/>
  <c r="AZ84" i="5"/>
  <c r="BA84" i="5"/>
  <c r="BB84" i="5"/>
  <c r="BC84" i="5"/>
  <c r="AX85" i="5"/>
  <c r="AY85" i="5"/>
  <c r="AZ85" i="5"/>
  <c r="BA85" i="5"/>
  <c r="BB85" i="5"/>
  <c r="BC85" i="5"/>
  <c r="AX86" i="5"/>
  <c r="AY86" i="5"/>
  <c r="AZ86" i="5"/>
  <c r="BA86" i="5"/>
  <c r="BB86" i="5"/>
  <c r="BC86" i="5"/>
  <c r="AX87" i="5"/>
  <c r="AY87" i="5"/>
  <c r="AZ87" i="5"/>
  <c r="BA87" i="5"/>
  <c r="BB87" i="5"/>
  <c r="BC87" i="5"/>
  <c r="AX88" i="5"/>
  <c r="AY88" i="5"/>
  <c r="AZ88" i="5"/>
  <c r="BA88" i="5"/>
  <c r="BB88" i="5"/>
  <c r="BC88" i="5"/>
  <c r="AX89" i="5"/>
  <c r="AY89" i="5"/>
  <c r="AZ89" i="5"/>
  <c r="BA89" i="5"/>
  <c r="BB89" i="5"/>
  <c r="BC89" i="5"/>
  <c r="AX90" i="5"/>
  <c r="AY90" i="5"/>
  <c r="AZ90" i="5"/>
  <c r="BA90" i="5"/>
  <c r="BB90" i="5"/>
  <c r="BC90" i="5"/>
  <c r="AX91" i="5"/>
  <c r="AY91" i="5"/>
  <c r="AZ91" i="5"/>
  <c r="BA91" i="5"/>
  <c r="BB91" i="5"/>
  <c r="BC91" i="5"/>
  <c r="AX92" i="5"/>
  <c r="AY92" i="5"/>
  <c r="AZ92" i="5"/>
  <c r="BA92" i="5"/>
  <c r="BB92" i="5"/>
  <c r="BC92" i="5"/>
  <c r="AX93" i="5"/>
  <c r="AY93" i="5"/>
  <c r="AZ93" i="5"/>
  <c r="BA93" i="5"/>
  <c r="BB93" i="5"/>
  <c r="BC93" i="5"/>
  <c r="AX94" i="5"/>
  <c r="AY94" i="5"/>
  <c r="AZ94" i="5"/>
  <c r="BA94" i="5"/>
  <c r="BB94" i="5"/>
  <c r="BC94" i="5"/>
  <c r="AX95" i="5"/>
  <c r="AY95" i="5"/>
  <c r="AZ95" i="5"/>
  <c r="BA95" i="5"/>
  <c r="BB95" i="5"/>
  <c r="BC95" i="5"/>
  <c r="AX96" i="5"/>
  <c r="AY96" i="5"/>
  <c r="AZ96" i="5"/>
  <c r="BA96" i="5"/>
  <c r="BB96" i="5"/>
  <c r="BC96" i="5"/>
  <c r="AX97" i="5"/>
  <c r="AY97" i="5"/>
  <c r="AZ97" i="5"/>
  <c r="BA97" i="5"/>
  <c r="BB97" i="5"/>
  <c r="BC97" i="5"/>
  <c r="AX98" i="5"/>
  <c r="AY98" i="5"/>
  <c r="AZ98" i="5"/>
  <c r="BA98" i="5"/>
  <c r="BB98" i="5"/>
  <c r="BC98" i="5"/>
  <c r="AX99" i="5"/>
  <c r="AY99" i="5"/>
  <c r="AZ99" i="5"/>
  <c r="BA99" i="5"/>
  <c r="BB99" i="5"/>
  <c r="BC99" i="5"/>
  <c r="AX100" i="5"/>
  <c r="AY100" i="5"/>
  <c r="AZ100" i="5"/>
  <c r="BA100" i="5"/>
  <c r="BB100" i="5"/>
  <c r="BC100" i="5"/>
  <c r="AX101" i="5"/>
  <c r="AY101" i="5"/>
  <c r="AZ101" i="5"/>
  <c r="BA101" i="5"/>
  <c r="BB101" i="5"/>
  <c r="BC101" i="5"/>
  <c r="AX102" i="5"/>
  <c r="AY102" i="5"/>
  <c r="AZ102" i="5"/>
  <c r="BA102" i="5"/>
  <c r="BB102" i="5"/>
  <c r="BC102" i="5"/>
  <c r="AX103" i="5"/>
  <c r="AY103" i="5"/>
  <c r="AZ103" i="5"/>
  <c r="BA103" i="5"/>
  <c r="BB103" i="5"/>
  <c r="BC103" i="5"/>
  <c r="AX104" i="5"/>
  <c r="AY104" i="5"/>
  <c r="AZ104" i="5"/>
  <c r="BA104" i="5"/>
  <c r="BB104" i="5"/>
  <c r="BC104" i="5"/>
  <c r="AX105" i="5"/>
  <c r="AY105" i="5"/>
  <c r="AZ105" i="5"/>
  <c r="BA105" i="5"/>
  <c r="BB105" i="5"/>
  <c r="BC105" i="5"/>
  <c r="AX106" i="5"/>
  <c r="AY106" i="5"/>
  <c r="AZ106" i="5"/>
  <c r="BA106" i="5"/>
  <c r="BB106" i="5"/>
  <c r="BC106" i="5"/>
  <c r="AX107" i="5"/>
  <c r="AY107" i="5"/>
  <c r="AZ107" i="5"/>
  <c r="BA107" i="5"/>
  <c r="BB107" i="5"/>
  <c r="BC107" i="5"/>
  <c r="AA9" i="5"/>
  <c r="AB9" i="5"/>
  <c r="AC9" i="5"/>
  <c r="AD9" i="5"/>
  <c r="AE9" i="5"/>
  <c r="AF9" i="5"/>
  <c r="AG9" i="5"/>
  <c r="AA10" i="5"/>
  <c r="AB10" i="5"/>
  <c r="AC10" i="5"/>
  <c r="AD10" i="5"/>
  <c r="AE10" i="5"/>
  <c r="AF10" i="5"/>
  <c r="AG10" i="5"/>
  <c r="AA11" i="5"/>
  <c r="AB11" i="5"/>
  <c r="AC11" i="5"/>
  <c r="AD11" i="5"/>
  <c r="AE11" i="5"/>
  <c r="AF11" i="5"/>
  <c r="AG11" i="5"/>
  <c r="AA12" i="5"/>
  <c r="AB12" i="5"/>
  <c r="AC12" i="5"/>
  <c r="AD12" i="5"/>
  <c r="AE12" i="5"/>
  <c r="AF12" i="5"/>
  <c r="AG12" i="5"/>
  <c r="AA13" i="5"/>
  <c r="AB13" i="5"/>
  <c r="AC13" i="5"/>
  <c r="AD13" i="5"/>
  <c r="AE13" i="5"/>
  <c r="AF13" i="5"/>
  <c r="AG13" i="5"/>
  <c r="AA14" i="5"/>
  <c r="AB14" i="5"/>
  <c r="AC14" i="5"/>
  <c r="AD14" i="5"/>
  <c r="AE14" i="5"/>
  <c r="AF14" i="5"/>
  <c r="AG14" i="5"/>
  <c r="AA15" i="5"/>
  <c r="AB15" i="5"/>
  <c r="AC15" i="5"/>
  <c r="AD15" i="5"/>
  <c r="AE15" i="5"/>
  <c r="AF15" i="5"/>
  <c r="AG15" i="5"/>
  <c r="AA16" i="5"/>
  <c r="AB16" i="5"/>
  <c r="AC16" i="5"/>
  <c r="AD16" i="5"/>
  <c r="AE16" i="5"/>
  <c r="AF16" i="5"/>
  <c r="AG16" i="5"/>
  <c r="AA17" i="5"/>
  <c r="AB17" i="5"/>
  <c r="AC17" i="5"/>
  <c r="AD17" i="5"/>
  <c r="AE17" i="5"/>
  <c r="AF17" i="5"/>
  <c r="AG17" i="5"/>
  <c r="AA18" i="5"/>
  <c r="AB18" i="5"/>
  <c r="AC18" i="5"/>
  <c r="AD18" i="5"/>
  <c r="AE18" i="5"/>
  <c r="AF18" i="5"/>
  <c r="AG18" i="5"/>
  <c r="AA19" i="5"/>
  <c r="AB19" i="5"/>
  <c r="AC19" i="5"/>
  <c r="AD19" i="5"/>
  <c r="AE19" i="5"/>
  <c r="AF19" i="5"/>
  <c r="AG19" i="5"/>
  <c r="AA20" i="5"/>
  <c r="AB20" i="5"/>
  <c r="AC20" i="5"/>
  <c r="AD20" i="5"/>
  <c r="AE20" i="5"/>
  <c r="AF20" i="5"/>
  <c r="AG20" i="5"/>
  <c r="AA21" i="5"/>
  <c r="AB21" i="5"/>
  <c r="AC21" i="5"/>
  <c r="AD21" i="5"/>
  <c r="AE21" i="5"/>
  <c r="AF21" i="5"/>
  <c r="AG21" i="5"/>
  <c r="AA22" i="5"/>
  <c r="AB22" i="5"/>
  <c r="AC22" i="5"/>
  <c r="AD22" i="5"/>
  <c r="AE22" i="5"/>
  <c r="AF22" i="5"/>
  <c r="AG22" i="5"/>
  <c r="AA23" i="5"/>
  <c r="AB23" i="5"/>
  <c r="AC23" i="5"/>
  <c r="AD23" i="5"/>
  <c r="AE23" i="5"/>
  <c r="AF23" i="5"/>
  <c r="AG23" i="5"/>
  <c r="AA24" i="5"/>
  <c r="AB24" i="5"/>
  <c r="AC24" i="5"/>
  <c r="AD24" i="5"/>
  <c r="AE24" i="5"/>
  <c r="AF24" i="5"/>
  <c r="AG24" i="5"/>
  <c r="AA25" i="5"/>
  <c r="AB25" i="5"/>
  <c r="AC25" i="5"/>
  <c r="AD25" i="5"/>
  <c r="AE25" i="5"/>
  <c r="AF25" i="5"/>
  <c r="AG25" i="5"/>
  <c r="AA26" i="5"/>
  <c r="AB26" i="5"/>
  <c r="AC26" i="5"/>
  <c r="AD26" i="5"/>
  <c r="AE26" i="5"/>
  <c r="AF26" i="5"/>
  <c r="AG26" i="5"/>
  <c r="AA27" i="5"/>
  <c r="AB27" i="5"/>
  <c r="AC27" i="5"/>
  <c r="AD27" i="5"/>
  <c r="AE27" i="5"/>
  <c r="AF27" i="5"/>
  <c r="AG27" i="5"/>
  <c r="AA28" i="5"/>
  <c r="AB28" i="5"/>
  <c r="AC28" i="5"/>
  <c r="AD28" i="5"/>
  <c r="AE28" i="5"/>
  <c r="AF28" i="5"/>
  <c r="AG28" i="5"/>
  <c r="AA29" i="5"/>
  <c r="AB29" i="5"/>
  <c r="AC29" i="5"/>
  <c r="AD29" i="5"/>
  <c r="AE29" i="5"/>
  <c r="AF29" i="5"/>
  <c r="AG29" i="5"/>
  <c r="AA30" i="5"/>
  <c r="AB30" i="5"/>
  <c r="AC30" i="5"/>
  <c r="AD30" i="5"/>
  <c r="AE30" i="5"/>
  <c r="AF30" i="5"/>
  <c r="AG30" i="5"/>
  <c r="AA31" i="5"/>
  <c r="AB31" i="5"/>
  <c r="AC31" i="5"/>
  <c r="AD31" i="5"/>
  <c r="AE31" i="5"/>
  <c r="AF31" i="5"/>
  <c r="AG31" i="5"/>
  <c r="AA32" i="5"/>
  <c r="AB32" i="5"/>
  <c r="AC32" i="5"/>
  <c r="AD32" i="5"/>
  <c r="AE32" i="5"/>
  <c r="AF32" i="5"/>
  <c r="AG32" i="5"/>
  <c r="AA33" i="5"/>
  <c r="AB33" i="5"/>
  <c r="AC33" i="5"/>
  <c r="AD33" i="5"/>
  <c r="AE33" i="5"/>
  <c r="AF33" i="5"/>
  <c r="AG33" i="5"/>
  <c r="AA34" i="5"/>
  <c r="AB34" i="5"/>
  <c r="AC34" i="5"/>
  <c r="AD34" i="5"/>
  <c r="AE34" i="5"/>
  <c r="AF34" i="5"/>
  <c r="AG34" i="5"/>
  <c r="AA35" i="5"/>
  <c r="AB35" i="5"/>
  <c r="AC35" i="5"/>
  <c r="AD35" i="5"/>
  <c r="AE35" i="5"/>
  <c r="AF35" i="5"/>
  <c r="AG35" i="5"/>
  <c r="AA36" i="5"/>
  <c r="AB36" i="5"/>
  <c r="AC36" i="5"/>
  <c r="AD36" i="5"/>
  <c r="AE36" i="5"/>
  <c r="AF36" i="5"/>
  <c r="AG36" i="5"/>
  <c r="AA37" i="5"/>
  <c r="AB37" i="5"/>
  <c r="AC37" i="5"/>
  <c r="AD37" i="5"/>
  <c r="AE37" i="5"/>
  <c r="AF37" i="5"/>
  <c r="AG37" i="5"/>
  <c r="AA38" i="5"/>
  <c r="AB38" i="5"/>
  <c r="AC38" i="5"/>
  <c r="AD38" i="5"/>
  <c r="AE38" i="5"/>
  <c r="AF38" i="5"/>
  <c r="AG38" i="5"/>
  <c r="AA39" i="5"/>
  <c r="AB39" i="5"/>
  <c r="AC39" i="5"/>
  <c r="AD39" i="5"/>
  <c r="AE39" i="5"/>
  <c r="AF39" i="5"/>
  <c r="AG39" i="5"/>
  <c r="AA40" i="5"/>
  <c r="AB40" i="5"/>
  <c r="AC40" i="5"/>
  <c r="AD40" i="5"/>
  <c r="AE40" i="5"/>
  <c r="AF40" i="5"/>
  <c r="AG40" i="5"/>
  <c r="AA41" i="5"/>
  <c r="AB41" i="5"/>
  <c r="AC41" i="5"/>
  <c r="AD41" i="5"/>
  <c r="AE41" i="5"/>
  <c r="AF41" i="5"/>
  <c r="AG41" i="5"/>
  <c r="AA42" i="5"/>
  <c r="AB42" i="5"/>
  <c r="AC42" i="5"/>
  <c r="AD42" i="5"/>
  <c r="AE42" i="5"/>
  <c r="AF42" i="5"/>
  <c r="AG42" i="5"/>
  <c r="AA43" i="5"/>
  <c r="AB43" i="5"/>
  <c r="AC43" i="5"/>
  <c r="AD43" i="5"/>
  <c r="AE43" i="5"/>
  <c r="AF43" i="5"/>
  <c r="AG43" i="5"/>
  <c r="AA44" i="5"/>
  <c r="AB44" i="5"/>
  <c r="AC44" i="5"/>
  <c r="AD44" i="5"/>
  <c r="AE44" i="5"/>
  <c r="AF44" i="5"/>
  <c r="AG44" i="5"/>
  <c r="AA45" i="5"/>
  <c r="AB45" i="5"/>
  <c r="AC45" i="5"/>
  <c r="AD45" i="5"/>
  <c r="AE45" i="5"/>
  <c r="AF45" i="5"/>
  <c r="AG45" i="5"/>
  <c r="AA46" i="5"/>
  <c r="AB46" i="5"/>
  <c r="AC46" i="5"/>
  <c r="AD46" i="5"/>
  <c r="AE46" i="5"/>
  <c r="AF46" i="5"/>
  <c r="AG46" i="5"/>
  <c r="AA47" i="5"/>
  <c r="AB47" i="5"/>
  <c r="AC47" i="5"/>
  <c r="AD47" i="5"/>
  <c r="AE47" i="5"/>
  <c r="AF47" i="5"/>
  <c r="AG47" i="5"/>
  <c r="AA48" i="5"/>
  <c r="AB48" i="5"/>
  <c r="AC48" i="5"/>
  <c r="AD48" i="5"/>
  <c r="AE48" i="5"/>
  <c r="AF48" i="5"/>
  <c r="AG48" i="5"/>
  <c r="AA49" i="5"/>
  <c r="AB49" i="5"/>
  <c r="AC49" i="5"/>
  <c r="AD49" i="5"/>
  <c r="AE49" i="5"/>
  <c r="AF49" i="5"/>
  <c r="AG49" i="5"/>
  <c r="AA50" i="5"/>
  <c r="AB50" i="5"/>
  <c r="AC50" i="5"/>
  <c r="AD50" i="5"/>
  <c r="AE50" i="5"/>
  <c r="AF50" i="5"/>
  <c r="AG50" i="5"/>
  <c r="AA51" i="5"/>
  <c r="AB51" i="5"/>
  <c r="AC51" i="5"/>
  <c r="AD51" i="5"/>
  <c r="AE51" i="5"/>
  <c r="AF51" i="5"/>
  <c r="AG51" i="5"/>
  <c r="AA52" i="5"/>
  <c r="AB52" i="5"/>
  <c r="AC52" i="5"/>
  <c r="AD52" i="5"/>
  <c r="AE52" i="5"/>
  <c r="AF52" i="5"/>
  <c r="AG52" i="5"/>
  <c r="AA53" i="5"/>
  <c r="AB53" i="5"/>
  <c r="AC53" i="5"/>
  <c r="AD53" i="5"/>
  <c r="AE53" i="5"/>
  <c r="AF53" i="5"/>
  <c r="AG53" i="5"/>
  <c r="AA54" i="5"/>
  <c r="AB54" i="5"/>
  <c r="AC54" i="5"/>
  <c r="AD54" i="5"/>
  <c r="AE54" i="5"/>
  <c r="AF54" i="5"/>
  <c r="AG54" i="5"/>
  <c r="AA55" i="5"/>
  <c r="AB55" i="5"/>
  <c r="AC55" i="5"/>
  <c r="AD55" i="5"/>
  <c r="AE55" i="5"/>
  <c r="AF55" i="5"/>
  <c r="AG55" i="5"/>
  <c r="AA56" i="5"/>
  <c r="AB56" i="5"/>
  <c r="AC56" i="5"/>
  <c r="AD56" i="5"/>
  <c r="AE56" i="5"/>
  <c r="AF56" i="5"/>
  <c r="AG56" i="5"/>
  <c r="AA57" i="5"/>
  <c r="AB57" i="5"/>
  <c r="AC57" i="5"/>
  <c r="AD57" i="5"/>
  <c r="AE57" i="5"/>
  <c r="AF57" i="5"/>
  <c r="AG57" i="5"/>
  <c r="AA58" i="5"/>
  <c r="AB58" i="5"/>
  <c r="AC58" i="5"/>
  <c r="AD58" i="5"/>
  <c r="AE58" i="5"/>
  <c r="AF58" i="5"/>
  <c r="AG58" i="5"/>
  <c r="AA59" i="5"/>
  <c r="AB59" i="5"/>
  <c r="AC59" i="5"/>
  <c r="AD59" i="5"/>
  <c r="AE59" i="5"/>
  <c r="AF59" i="5"/>
  <c r="AG59" i="5"/>
  <c r="AA60" i="5"/>
  <c r="AB60" i="5"/>
  <c r="AC60" i="5"/>
  <c r="AD60" i="5"/>
  <c r="AE60" i="5"/>
  <c r="AF60" i="5"/>
  <c r="AG60" i="5"/>
  <c r="AA61" i="5"/>
  <c r="AB61" i="5"/>
  <c r="AC61" i="5"/>
  <c r="AD61" i="5"/>
  <c r="AE61" i="5"/>
  <c r="AF61" i="5"/>
  <c r="AG61" i="5"/>
  <c r="AA62" i="5"/>
  <c r="AB62" i="5"/>
  <c r="AC62" i="5"/>
  <c r="AD62" i="5"/>
  <c r="AE62" i="5"/>
  <c r="AF62" i="5"/>
  <c r="AG62" i="5"/>
  <c r="AA63" i="5"/>
  <c r="AB63" i="5"/>
  <c r="AC63" i="5"/>
  <c r="AD63" i="5"/>
  <c r="AE63" i="5"/>
  <c r="AF63" i="5"/>
  <c r="AG63" i="5"/>
  <c r="AA64" i="5"/>
  <c r="AB64" i="5"/>
  <c r="AC64" i="5"/>
  <c r="AD64" i="5"/>
  <c r="AE64" i="5"/>
  <c r="AF64" i="5"/>
  <c r="AG64" i="5"/>
  <c r="AA65" i="5"/>
  <c r="AB65" i="5"/>
  <c r="AC65" i="5"/>
  <c r="AD65" i="5"/>
  <c r="AE65" i="5"/>
  <c r="AF65" i="5"/>
  <c r="AG65" i="5"/>
  <c r="AA66" i="5"/>
  <c r="AB66" i="5"/>
  <c r="AC66" i="5"/>
  <c r="AD66" i="5"/>
  <c r="AE66" i="5"/>
  <c r="AF66" i="5"/>
  <c r="AG66" i="5"/>
  <c r="AA67" i="5"/>
  <c r="AB67" i="5"/>
  <c r="AC67" i="5"/>
  <c r="AD67" i="5"/>
  <c r="AE67" i="5"/>
  <c r="AF67" i="5"/>
  <c r="AG67" i="5"/>
  <c r="AA68" i="5"/>
  <c r="AB68" i="5"/>
  <c r="AC68" i="5"/>
  <c r="AD68" i="5"/>
  <c r="AE68" i="5"/>
  <c r="AF68" i="5"/>
  <c r="AG68" i="5"/>
  <c r="AA69" i="5"/>
  <c r="AB69" i="5"/>
  <c r="AC69" i="5"/>
  <c r="AD69" i="5"/>
  <c r="AE69" i="5"/>
  <c r="AF69" i="5"/>
  <c r="AG69" i="5"/>
  <c r="AA70" i="5"/>
  <c r="AB70" i="5"/>
  <c r="AC70" i="5"/>
  <c r="AD70" i="5"/>
  <c r="AE70" i="5"/>
  <c r="AF70" i="5"/>
  <c r="AG70" i="5"/>
  <c r="AA71" i="5"/>
  <c r="AB71" i="5"/>
  <c r="AC71" i="5"/>
  <c r="AD71" i="5"/>
  <c r="AE71" i="5"/>
  <c r="AF71" i="5"/>
  <c r="AG71" i="5"/>
  <c r="AA72" i="5"/>
  <c r="AB72" i="5"/>
  <c r="AC72" i="5"/>
  <c r="AD72" i="5"/>
  <c r="AE72" i="5"/>
  <c r="AF72" i="5"/>
  <c r="AG72" i="5"/>
  <c r="AA73" i="5"/>
  <c r="AB73" i="5"/>
  <c r="AC73" i="5"/>
  <c r="AD73" i="5"/>
  <c r="AE73" i="5"/>
  <c r="AF73" i="5"/>
  <c r="AG73" i="5"/>
  <c r="AA74" i="5"/>
  <c r="AB74" i="5"/>
  <c r="AC74" i="5"/>
  <c r="AD74" i="5"/>
  <c r="AE74" i="5"/>
  <c r="AF74" i="5"/>
  <c r="AG74" i="5"/>
  <c r="AA75" i="5"/>
  <c r="AB75" i="5"/>
  <c r="AC75" i="5"/>
  <c r="AD75" i="5"/>
  <c r="AE75" i="5"/>
  <c r="AF75" i="5"/>
  <c r="AG75" i="5"/>
  <c r="AA76" i="5"/>
  <c r="AB76" i="5"/>
  <c r="AC76" i="5"/>
  <c r="AD76" i="5"/>
  <c r="AE76" i="5"/>
  <c r="AF76" i="5"/>
  <c r="AG76" i="5"/>
  <c r="AA77" i="5"/>
  <c r="AB77" i="5"/>
  <c r="AC77" i="5"/>
  <c r="AD77" i="5"/>
  <c r="AE77" i="5"/>
  <c r="AF77" i="5"/>
  <c r="AG77" i="5"/>
  <c r="AA78" i="5"/>
  <c r="AB78" i="5"/>
  <c r="AC78" i="5"/>
  <c r="AD78" i="5"/>
  <c r="AE78" i="5"/>
  <c r="AF78" i="5"/>
  <c r="AG78" i="5"/>
  <c r="AA79" i="5"/>
  <c r="AB79" i="5"/>
  <c r="AC79" i="5"/>
  <c r="AD79" i="5"/>
  <c r="AE79" i="5"/>
  <c r="AF79" i="5"/>
  <c r="AG79" i="5"/>
  <c r="AA80" i="5"/>
  <c r="AB80" i="5"/>
  <c r="AC80" i="5"/>
  <c r="AD80" i="5"/>
  <c r="AE80" i="5"/>
  <c r="AF80" i="5"/>
  <c r="AG80" i="5"/>
  <c r="AA81" i="5"/>
  <c r="AB81" i="5"/>
  <c r="AC81" i="5"/>
  <c r="AD81" i="5"/>
  <c r="AE81" i="5"/>
  <c r="AF81" i="5"/>
  <c r="AG81" i="5"/>
  <c r="AA82" i="5"/>
  <c r="AB82" i="5"/>
  <c r="AC82" i="5"/>
  <c r="AD82" i="5"/>
  <c r="AE82" i="5"/>
  <c r="AF82" i="5"/>
  <c r="AG82" i="5"/>
  <c r="AA83" i="5"/>
  <c r="AB83" i="5"/>
  <c r="AC83" i="5"/>
  <c r="AD83" i="5"/>
  <c r="AE83" i="5"/>
  <c r="AF83" i="5"/>
  <c r="AG83" i="5"/>
  <c r="AA84" i="5"/>
  <c r="AB84" i="5"/>
  <c r="AC84" i="5"/>
  <c r="AD84" i="5"/>
  <c r="AE84" i="5"/>
  <c r="AF84" i="5"/>
  <c r="AG84" i="5"/>
  <c r="AA85" i="5"/>
  <c r="AB85" i="5"/>
  <c r="AC85" i="5"/>
  <c r="AD85" i="5"/>
  <c r="AE85" i="5"/>
  <c r="AF85" i="5"/>
  <c r="AG85" i="5"/>
  <c r="AA86" i="5"/>
  <c r="AB86" i="5"/>
  <c r="AC86" i="5"/>
  <c r="AD86" i="5"/>
  <c r="AE86" i="5"/>
  <c r="AF86" i="5"/>
  <c r="AG86" i="5"/>
  <c r="AA87" i="5"/>
  <c r="AB87" i="5"/>
  <c r="AC87" i="5"/>
  <c r="AD87" i="5"/>
  <c r="AE87" i="5"/>
  <c r="AF87" i="5"/>
  <c r="AG87" i="5"/>
  <c r="AA88" i="5"/>
  <c r="AB88" i="5"/>
  <c r="AC88" i="5"/>
  <c r="AD88" i="5"/>
  <c r="AE88" i="5"/>
  <c r="AF88" i="5"/>
  <c r="AG88" i="5"/>
  <c r="AA89" i="5"/>
  <c r="AB89" i="5"/>
  <c r="AC89" i="5"/>
  <c r="AD89" i="5"/>
  <c r="AE89" i="5"/>
  <c r="AF89" i="5"/>
  <c r="AG89" i="5"/>
  <c r="AA90" i="5"/>
  <c r="AB90" i="5"/>
  <c r="AC90" i="5"/>
  <c r="AD90" i="5"/>
  <c r="AE90" i="5"/>
  <c r="AF90" i="5"/>
  <c r="AG90" i="5"/>
  <c r="AA91" i="5"/>
  <c r="AB91" i="5"/>
  <c r="AC91" i="5"/>
  <c r="AD91" i="5"/>
  <c r="AE91" i="5"/>
  <c r="AF91" i="5"/>
  <c r="AG91" i="5"/>
  <c r="AA92" i="5"/>
  <c r="AB92" i="5"/>
  <c r="AC92" i="5"/>
  <c r="AD92" i="5"/>
  <c r="AE92" i="5"/>
  <c r="AF92" i="5"/>
  <c r="AG92" i="5"/>
  <c r="AA93" i="5"/>
  <c r="AB93" i="5"/>
  <c r="AC93" i="5"/>
  <c r="AD93" i="5"/>
  <c r="AE93" i="5"/>
  <c r="AF93" i="5"/>
  <c r="AG93" i="5"/>
  <c r="AA94" i="5"/>
  <c r="AB94" i="5"/>
  <c r="AC94" i="5"/>
  <c r="AD94" i="5"/>
  <c r="AE94" i="5"/>
  <c r="AF94" i="5"/>
  <c r="AG94" i="5"/>
  <c r="AA95" i="5"/>
  <c r="AB95" i="5"/>
  <c r="AC95" i="5"/>
  <c r="AD95" i="5"/>
  <c r="AE95" i="5"/>
  <c r="AF95" i="5"/>
  <c r="AG95" i="5"/>
  <c r="AA96" i="5"/>
  <c r="AB96" i="5"/>
  <c r="AC96" i="5"/>
  <c r="AD96" i="5"/>
  <c r="AE96" i="5"/>
  <c r="AF96" i="5"/>
  <c r="AG96" i="5"/>
  <c r="AA97" i="5"/>
  <c r="AB97" i="5"/>
  <c r="AC97" i="5"/>
  <c r="AD97" i="5"/>
  <c r="AE97" i="5"/>
  <c r="AF97" i="5"/>
  <c r="AG97" i="5"/>
  <c r="AA98" i="5"/>
  <c r="AB98" i="5"/>
  <c r="AC98" i="5"/>
  <c r="AD98" i="5"/>
  <c r="AE98" i="5"/>
  <c r="AF98" i="5"/>
  <c r="AG98" i="5"/>
  <c r="AA99" i="5"/>
  <c r="AB99" i="5"/>
  <c r="AC99" i="5"/>
  <c r="AD99" i="5"/>
  <c r="AE99" i="5"/>
  <c r="AF99" i="5"/>
  <c r="AG99" i="5"/>
  <c r="AA100" i="5"/>
  <c r="AB100" i="5"/>
  <c r="AC100" i="5"/>
  <c r="AD100" i="5"/>
  <c r="AE100" i="5"/>
  <c r="AF100" i="5"/>
  <c r="AG100" i="5"/>
  <c r="AA101" i="5"/>
  <c r="AB101" i="5"/>
  <c r="AC101" i="5"/>
  <c r="AD101" i="5"/>
  <c r="AE101" i="5"/>
  <c r="AF101" i="5"/>
  <c r="AG101" i="5"/>
  <c r="AA102" i="5"/>
  <c r="AB102" i="5"/>
  <c r="AC102" i="5"/>
  <c r="AD102" i="5"/>
  <c r="AE102" i="5"/>
  <c r="AF102" i="5"/>
  <c r="AG102" i="5"/>
  <c r="AA103" i="5"/>
  <c r="AB103" i="5"/>
  <c r="AC103" i="5"/>
  <c r="AD103" i="5"/>
  <c r="AE103" i="5"/>
  <c r="AF103" i="5"/>
  <c r="AG103" i="5"/>
  <c r="AA104" i="5"/>
  <c r="AB104" i="5"/>
  <c r="AC104" i="5"/>
  <c r="AD104" i="5"/>
  <c r="AE104" i="5"/>
  <c r="AF104" i="5"/>
  <c r="AG104" i="5"/>
  <c r="AA105" i="5"/>
  <c r="AB105" i="5"/>
  <c r="AC105" i="5"/>
  <c r="AD105" i="5"/>
  <c r="AE105" i="5"/>
  <c r="AF105" i="5"/>
  <c r="AG105" i="5"/>
  <c r="AA106" i="5"/>
  <c r="AB106" i="5"/>
  <c r="AC106" i="5"/>
  <c r="AD106" i="5"/>
  <c r="AE106" i="5"/>
  <c r="AF106" i="5"/>
  <c r="AG106" i="5"/>
  <c r="AA107" i="5"/>
  <c r="AB107" i="5"/>
  <c r="AC107" i="5"/>
  <c r="AD107" i="5"/>
  <c r="AE107" i="5"/>
  <c r="AF107" i="5"/>
  <c r="AG107" i="5"/>
  <c r="AA8" i="5"/>
  <c r="AB8" i="5"/>
  <c r="AC8" i="5"/>
  <c r="AD8" i="5"/>
  <c r="AE8" i="5"/>
  <c r="AF8" i="5"/>
  <c r="AG8" i="5"/>
  <c r="BC8" i="5"/>
  <c r="BB8" i="5"/>
  <c r="BA8" i="5"/>
  <c r="AZ8" i="5"/>
  <c r="AY8" i="5"/>
  <c r="AX8" i="5"/>
  <c r="AR9" i="5" l="1"/>
  <c r="AS9" i="5"/>
  <c r="AT9" i="5"/>
  <c r="AU9" i="5"/>
  <c r="AV9" i="5"/>
  <c r="AW9" i="5"/>
  <c r="AR10" i="5"/>
  <c r="AS10" i="5"/>
  <c r="AT10" i="5"/>
  <c r="AU10" i="5"/>
  <c r="AV10" i="5"/>
  <c r="AW10" i="5"/>
  <c r="AR11" i="5"/>
  <c r="AS11" i="5"/>
  <c r="AT11" i="5"/>
  <c r="AU11" i="5"/>
  <c r="AV11" i="5"/>
  <c r="AW11" i="5"/>
  <c r="AR12" i="5"/>
  <c r="AS12" i="5"/>
  <c r="AT12" i="5"/>
  <c r="AU12" i="5"/>
  <c r="AV12" i="5"/>
  <c r="AW12" i="5"/>
  <c r="AR13" i="5"/>
  <c r="AS13" i="5"/>
  <c r="AT13" i="5"/>
  <c r="AU13" i="5"/>
  <c r="AV13" i="5"/>
  <c r="AW13" i="5"/>
  <c r="AR14" i="5"/>
  <c r="AS14" i="5"/>
  <c r="AT14" i="5"/>
  <c r="AU14" i="5"/>
  <c r="AV14" i="5"/>
  <c r="AW14" i="5"/>
  <c r="AR15" i="5"/>
  <c r="AS15" i="5"/>
  <c r="AT15" i="5"/>
  <c r="AU15" i="5"/>
  <c r="AV15" i="5"/>
  <c r="AW15" i="5"/>
  <c r="AR16" i="5"/>
  <c r="AS16" i="5"/>
  <c r="AT16" i="5"/>
  <c r="AU16" i="5"/>
  <c r="AV16" i="5"/>
  <c r="AW16" i="5"/>
  <c r="AR17" i="5"/>
  <c r="AS17" i="5"/>
  <c r="AT17" i="5"/>
  <c r="AU17" i="5"/>
  <c r="AV17" i="5"/>
  <c r="AW17" i="5"/>
  <c r="AR18" i="5"/>
  <c r="AS18" i="5"/>
  <c r="AT18" i="5"/>
  <c r="AU18" i="5"/>
  <c r="AV18" i="5"/>
  <c r="AW18" i="5"/>
  <c r="AR19" i="5"/>
  <c r="AS19" i="5"/>
  <c r="AT19" i="5"/>
  <c r="AU19" i="5"/>
  <c r="AV19" i="5"/>
  <c r="AW19" i="5"/>
  <c r="AR20" i="5"/>
  <c r="AS20" i="5"/>
  <c r="AT20" i="5"/>
  <c r="AU20" i="5"/>
  <c r="AV20" i="5"/>
  <c r="AW20" i="5"/>
  <c r="AR21" i="5"/>
  <c r="AS21" i="5"/>
  <c r="AT21" i="5"/>
  <c r="AU21" i="5"/>
  <c r="AV21" i="5"/>
  <c r="AW21" i="5"/>
  <c r="AR22" i="5"/>
  <c r="AS22" i="5"/>
  <c r="AT22" i="5"/>
  <c r="AU22" i="5"/>
  <c r="AV22" i="5"/>
  <c r="AW22" i="5"/>
  <c r="AR23" i="5"/>
  <c r="AS23" i="5"/>
  <c r="AT23" i="5"/>
  <c r="AU23" i="5"/>
  <c r="AV23" i="5"/>
  <c r="AW23" i="5"/>
  <c r="AR24" i="5"/>
  <c r="AS24" i="5"/>
  <c r="AT24" i="5"/>
  <c r="AU24" i="5"/>
  <c r="AV24" i="5"/>
  <c r="AW24" i="5"/>
  <c r="AR25" i="5"/>
  <c r="AS25" i="5"/>
  <c r="AT25" i="5"/>
  <c r="AU25" i="5"/>
  <c r="AV25" i="5"/>
  <c r="AW25" i="5"/>
  <c r="AR26" i="5"/>
  <c r="AS26" i="5"/>
  <c r="AT26" i="5"/>
  <c r="AU26" i="5"/>
  <c r="AV26" i="5"/>
  <c r="AW26" i="5"/>
  <c r="AR27" i="5"/>
  <c r="AS27" i="5"/>
  <c r="AT27" i="5"/>
  <c r="AU27" i="5"/>
  <c r="AV27" i="5"/>
  <c r="AW27" i="5"/>
  <c r="AR28" i="5"/>
  <c r="AS28" i="5"/>
  <c r="AT28" i="5"/>
  <c r="AU28" i="5"/>
  <c r="AV28" i="5"/>
  <c r="AW28" i="5"/>
  <c r="AR29" i="5"/>
  <c r="AS29" i="5"/>
  <c r="AT29" i="5"/>
  <c r="AU29" i="5"/>
  <c r="AV29" i="5"/>
  <c r="AW29" i="5"/>
  <c r="AR30" i="5"/>
  <c r="AS30" i="5"/>
  <c r="AT30" i="5"/>
  <c r="AU30" i="5"/>
  <c r="AV30" i="5"/>
  <c r="AW30" i="5"/>
  <c r="AR31" i="5"/>
  <c r="AS31" i="5"/>
  <c r="AT31" i="5"/>
  <c r="AU31" i="5"/>
  <c r="AV31" i="5"/>
  <c r="AW31" i="5"/>
  <c r="AR32" i="5"/>
  <c r="AS32" i="5"/>
  <c r="AT32" i="5"/>
  <c r="AU32" i="5"/>
  <c r="AV32" i="5"/>
  <c r="AW32" i="5"/>
  <c r="AR33" i="5"/>
  <c r="AS33" i="5"/>
  <c r="AT33" i="5"/>
  <c r="AU33" i="5"/>
  <c r="AV33" i="5"/>
  <c r="AW33" i="5"/>
  <c r="AR34" i="5"/>
  <c r="AS34" i="5"/>
  <c r="AT34" i="5"/>
  <c r="AU34" i="5"/>
  <c r="AV34" i="5"/>
  <c r="AW34" i="5"/>
  <c r="AR35" i="5"/>
  <c r="AS35" i="5"/>
  <c r="AT35" i="5"/>
  <c r="AU35" i="5"/>
  <c r="AV35" i="5"/>
  <c r="AW35" i="5"/>
  <c r="AR36" i="5"/>
  <c r="AS36" i="5"/>
  <c r="AT36" i="5"/>
  <c r="AU36" i="5"/>
  <c r="AV36" i="5"/>
  <c r="AW36" i="5"/>
  <c r="AR37" i="5"/>
  <c r="AS37" i="5"/>
  <c r="AT37" i="5"/>
  <c r="AU37" i="5"/>
  <c r="AV37" i="5"/>
  <c r="AW37" i="5"/>
  <c r="AR38" i="5"/>
  <c r="AS38" i="5"/>
  <c r="AT38" i="5"/>
  <c r="AU38" i="5"/>
  <c r="AV38" i="5"/>
  <c r="AW38" i="5"/>
  <c r="AR39" i="5"/>
  <c r="AS39" i="5"/>
  <c r="AT39" i="5"/>
  <c r="AU39" i="5"/>
  <c r="AV39" i="5"/>
  <c r="AW39" i="5"/>
  <c r="AR40" i="5"/>
  <c r="AS40" i="5"/>
  <c r="AT40" i="5"/>
  <c r="AU40" i="5"/>
  <c r="AV40" i="5"/>
  <c r="AW40" i="5"/>
  <c r="AR41" i="5"/>
  <c r="AS41" i="5"/>
  <c r="AT41" i="5"/>
  <c r="AU41" i="5"/>
  <c r="AV41" i="5"/>
  <c r="AW41" i="5"/>
  <c r="AR42" i="5"/>
  <c r="AS42" i="5"/>
  <c r="AT42" i="5"/>
  <c r="AU42" i="5"/>
  <c r="AV42" i="5"/>
  <c r="AW42" i="5"/>
  <c r="AR43" i="5"/>
  <c r="AS43" i="5"/>
  <c r="AT43" i="5"/>
  <c r="AU43" i="5"/>
  <c r="AV43" i="5"/>
  <c r="AW43" i="5"/>
  <c r="AR44" i="5"/>
  <c r="AS44" i="5"/>
  <c r="AT44" i="5"/>
  <c r="AU44" i="5"/>
  <c r="AV44" i="5"/>
  <c r="AW44" i="5"/>
  <c r="AR45" i="5"/>
  <c r="AS45" i="5"/>
  <c r="AT45" i="5"/>
  <c r="AU45" i="5"/>
  <c r="AV45" i="5"/>
  <c r="AW45" i="5"/>
  <c r="AR46" i="5"/>
  <c r="AS46" i="5"/>
  <c r="AT46" i="5"/>
  <c r="AU46" i="5"/>
  <c r="AV46" i="5"/>
  <c r="AW46" i="5"/>
  <c r="AR47" i="5"/>
  <c r="AS47" i="5"/>
  <c r="AT47" i="5"/>
  <c r="AU47" i="5"/>
  <c r="AV47" i="5"/>
  <c r="AW47" i="5"/>
  <c r="AR48" i="5"/>
  <c r="AS48" i="5"/>
  <c r="AT48" i="5"/>
  <c r="AU48" i="5"/>
  <c r="AV48" i="5"/>
  <c r="AW48" i="5"/>
  <c r="AR49" i="5"/>
  <c r="AS49" i="5"/>
  <c r="AT49" i="5"/>
  <c r="AU49" i="5"/>
  <c r="AV49" i="5"/>
  <c r="AW49" i="5"/>
  <c r="AR50" i="5"/>
  <c r="AS50" i="5"/>
  <c r="AT50" i="5"/>
  <c r="AU50" i="5"/>
  <c r="AV50" i="5"/>
  <c r="AW50" i="5"/>
  <c r="AR51" i="5"/>
  <c r="AS51" i="5"/>
  <c r="AT51" i="5"/>
  <c r="AU51" i="5"/>
  <c r="AV51" i="5"/>
  <c r="AW51" i="5"/>
  <c r="AR52" i="5"/>
  <c r="AS52" i="5"/>
  <c r="AT52" i="5"/>
  <c r="AU52" i="5"/>
  <c r="AV52" i="5"/>
  <c r="AW52" i="5"/>
  <c r="AR53" i="5"/>
  <c r="AS53" i="5"/>
  <c r="AT53" i="5"/>
  <c r="AU53" i="5"/>
  <c r="AV53" i="5"/>
  <c r="AW53" i="5"/>
  <c r="AR54" i="5"/>
  <c r="AS54" i="5"/>
  <c r="AT54" i="5"/>
  <c r="AU54" i="5"/>
  <c r="AV54" i="5"/>
  <c r="AW54" i="5"/>
  <c r="AR55" i="5"/>
  <c r="AS55" i="5"/>
  <c r="AT55" i="5"/>
  <c r="AU55" i="5"/>
  <c r="AV55" i="5"/>
  <c r="AW55" i="5"/>
  <c r="AR56" i="5"/>
  <c r="AS56" i="5"/>
  <c r="AT56" i="5"/>
  <c r="AU56" i="5"/>
  <c r="AV56" i="5"/>
  <c r="AW56" i="5"/>
  <c r="AR57" i="5"/>
  <c r="AS57" i="5"/>
  <c r="AT57" i="5"/>
  <c r="AU57" i="5"/>
  <c r="AV57" i="5"/>
  <c r="AW57" i="5"/>
  <c r="AR58" i="5"/>
  <c r="AS58" i="5"/>
  <c r="AT58" i="5"/>
  <c r="AU58" i="5"/>
  <c r="AV58" i="5"/>
  <c r="AW58" i="5"/>
  <c r="AR59" i="5"/>
  <c r="AS59" i="5"/>
  <c r="AT59" i="5"/>
  <c r="AU59" i="5"/>
  <c r="AV59" i="5"/>
  <c r="AW59" i="5"/>
  <c r="AR60" i="5"/>
  <c r="AS60" i="5"/>
  <c r="AT60" i="5"/>
  <c r="AU60" i="5"/>
  <c r="AV60" i="5"/>
  <c r="AW60" i="5"/>
  <c r="AR61" i="5"/>
  <c r="AS61" i="5"/>
  <c r="AT61" i="5"/>
  <c r="AU61" i="5"/>
  <c r="AV61" i="5"/>
  <c r="AW61" i="5"/>
  <c r="AR62" i="5"/>
  <c r="AS62" i="5"/>
  <c r="AT62" i="5"/>
  <c r="AU62" i="5"/>
  <c r="AV62" i="5"/>
  <c r="AW62" i="5"/>
  <c r="AR63" i="5"/>
  <c r="AS63" i="5"/>
  <c r="AT63" i="5"/>
  <c r="AU63" i="5"/>
  <c r="AV63" i="5"/>
  <c r="AW63" i="5"/>
  <c r="AR64" i="5"/>
  <c r="AS64" i="5"/>
  <c r="AT64" i="5"/>
  <c r="AU64" i="5"/>
  <c r="AV64" i="5"/>
  <c r="AW64" i="5"/>
  <c r="AR65" i="5"/>
  <c r="AS65" i="5"/>
  <c r="AT65" i="5"/>
  <c r="AU65" i="5"/>
  <c r="AV65" i="5"/>
  <c r="AW65" i="5"/>
  <c r="AR66" i="5"/>
  <c r="AS66" i="5"/>
  <c r="AT66" i="5"/>
  <c r="AU66" i="5"/>
  <c r="AV66" i="5"/>
  <c r="AW66" i="5"/>
  <c r="AR67" i="5"/>
  <c r="AS67" i="5"/>
  <c r="AT67" i="5"/>
  <c r="AU67" i="5"/>
  <c r="AV67" i="5"/>
  <c r="AW67" i="5"/>
  <c r="AR68" i="5"/>
  <c r="AS68" i="5"/>
  <c r="AT68" i="5"/>
  <c r="AU68" i="5"/>
  <c r="AV68" i="5"/>
  <c r="AW68" i="5"/>
  <c r="AR69" i="5"/>
  <c r="AS69" i="5"/>
  <c r="AT69" i="5"/>
  <c r="AU69" i="5"/>
  <c r="AV69" i="5"/>
  <c r="AW69" i="5"/>
  <c r="AR70" i="5"/>
  <c r="AS70" i="5"/>
  <c r="AT70" i="5"/>
  <c r="AU70" i="5"/>
  <c r="AV70" i="5"/>
  <c r="AW70" i="5"/>
  <c r="AR71" i="5"/>
  <c r="AS71" i="5"/>
  <c r="AT71" i="5"/>
  <c r="AU71" i="5"/>
  <c r="AV71" i="5"/>
  <c r="AW71" i="5"/>
  <c r="AR72" i="5"/>
  <c r="AS72" i="5"/>
  <c r="AT72" i="5"/>
  <c r="AU72" i="5"/>
  <c r="AV72" i="5"/>
  <c r="AW72" i="5"/>
  <c r="AR73" i="5"/>
  <c r="AS73" i="5"/>
  <c r="AT73" i="5"/>
  <c r="AU73" i="5"/>
  <c r="AV73" i="5"/>
  <c r="AW73" i="5"/>
  <c r="AR74" i="5"/>
  <c r="AS74" i="5"/>
  <c r="AT74" i="5"/>
  <c r="AU74" i="5"/>
  <c r="AV74" i="5"/>
  <c r="AW74" i="5"/>
  <c r="AR75" i="5"/>
  <c r="AS75" i="5"/>
  <c r="AT75" i="5"/>
  <c r="AU75" i="5"/>
  <c r="AV75" i="5"/>
  <c r="AW75" i="5"/>
  <c r="AR76" i="5"/>
  <c r="AS76" i="5"/>
  <c r="AT76" i="5"/>
  <c r="AU76" i="5"/>
  <c r="AV76" i="5"/>
  <c r="AW76" i="5"/>
  <c r="AR77" i="5"/>
  <c r="AS77" i="5"/>
  <c r="AT77" i="5"/>
  <c r="AU77" i="5"/>
  <c r="AV77" i="5"/>
  <c r="AW77" i="5"/>
  <c r="AR78" i="5"/>
  <c r="AS78" i="5"/>
  <c r="AT78" i="5"/>
  <c r="AU78" i="5"/>
  <c r="AV78" i="5"/>
  <c r="AW78" i="5"/>
  <c r="AR79" i="5"/>
  <c r="AS79" i="5"/>
  <c r="AT79" i="5"/>
  <c r="AU79" i="5"/>
  <c r="AV79" i="5"/>
  <c r="AW79" i="5"/>
  <c r="AR80" i="5"/>
  <c r="AS80" i="5"/>
  <c r="AT80" i="5"/>
  <c r="AU80" i="5"/>
  <c r="AV80" i="5"/>
  <c r="AW80" i="5"/>
  <c r="AR81" i="5"/>
  <c r="AS81" i="5"/>
  <c r="AT81" i="5"/>
  <c r="AU81" i="5"/>
  <c r="AV81" i="5"/>
  <c r="AW81" i="5"/>
  <c r="AR82" i="5"/>
  <c r="AS82" i="5"/>
  <c r="AT82" i="5"/>
  <c r="AU82" i="5"/>
  <c r="AV82" i="5"/>
  <c r="AW82" i="5"/>
  <c r="AR83" i="5"/>
  <c r="AS83" i="5"/>
  <c r="AT83" i="5"/>
  <c r="AU83" i="5"/>
  <c r="AV83" i="5"/>
  <c r="AW83" i="5"/>
  <c r="AR84" i="5"/>
  <c r="AS84" i="5"/>
  <c r="AT84" i="5"/>
  <c r="AU84" i="5"/>
  <c r="AV84" i="5"/>
  <c r="AW84" i="5"/>
  <c r="AR85" i="5"/>
  <c r="AS85" i="5"/>
  <c r="AT85" i="5"/>
  <c r="AU85" i="5"/>
  <c r="AV85" i="5"/>
  <c r="AW85" i="5"/>
  <c r="AR86" i="5"/>
  <c r="AS86" i="5"/>
  <c r="AT86" i="5"/>
  <c r="AU86" i="5"/>
  <c r="AV86" i="5"/>
  <c r="AW86" i="5"/>
  <c r="AR87" i="5"/>
  <c r="AS87" i="5"/>
  <c r="AT87" i="5"/>
  <c r="AU87" i="5"/>
  <c r="AV87" i="5"/>
  <c r="AW87" i="5"/>
  <c r="AR88" i="5"/>
  <c r="AS88" i="5"/>
  <c r="AT88" i="5"/>
  <c r="AU88" i="5"/>
  <c r="AV88" i="5"/>
  <c r="AW88" i="5"/>
  <c r="AR89" i="5"/>
  <c r="AS89" i="5"/>
  <c r="AT89" i="5"/>
  <c r="AU89" i="5"/>
  <c r="AV89" i="5"/>
  <c r="AW89" i="5"/>
  <c r="AR90" i="5"/>
  <c r="AS90" i="5"/>
  <c r="AT90" i="5"/>
  <c r="AU90" i="5"/>
  <c r="AV90" i="5"/>
  <c r="AW90" i="5"/>
  <c r="AR91" i="5"/>
  <c r="AS91" i="5"/>
  <c r="AT91" i="5"/>
  <c r="AU91" i="5"/>
  <c r="AV91" i="5"/>
  <c r="AW91" i="5"/>
  <c r="AR92" i="5"/>
  <c r="AS92" i="5"/>
  <c r="AT92" i="5"/>
  <c r="AU92" i="5"/>
  <c r="AV92" i="5"/>
  <c r="AW92" i="5"/>
  <c r="AR93" i="5"/>
  <c r="AS93" i="5"/>
  <c r="AT93" i="5"/>
  <c r="AU93" i="5"/>
  <c r="AV93" i="5"/>
  <c r="AW93" i="5"/>
  <c r="AR94" i="5"/>
  <c r="AS94" i="5"/>
  <c r="AT94" i="5"/>
  <c r="AU94" i="5"/>
  <c r="AV94" i="5"/>
  <c r="AW94" i="5"/>
  <c r="AR95" i="5"/>
  <c r="AS95" i="5"/>
  <c r="AT95" i="5"/>
  <c r="AU95" i="5"/>
  <c r="AV95" i="5"/>
  <c r="AW95" i="5"/>
  <c r="AR96" i="5"/>
  <c r="AS96" i="5"/>
  <c r="AT96" i="5"/>
  <c r="AU96" i="5"/>
  <c r="AV96" i="5"/>
  <c r="AW96" i="5"/>
  <c r="AR97" i="5"/>
  <c r="AS97" i="5"/>
  <c r="AT97" i="5"/>
  <c r="AU97" i="5"/>
  <c r="AV97" i="5"/>
  <c r="AW97" i="5"/>
  <c r="AR98" i="5"/>
  <c r="AS98" i="5"/>
  <c r="AT98" i="5"/>
  <c r="AU98" i="5"/>
  <c r="AV98" i="5"/>
  <c r="AW98" i="5"/>
  <c r="AR99" i="5"/>
  <c r="AS99" i="5"/>
  <c r="AT99" i="5"/>
  <c r="AU99" i="5"/>
  <c r="AV99" i="5"/>
  <c r="AW99" i="5"/>
  <c r="AR100" i="5"/>
  <c r="AS100" i="5"/>
  <c r="AT100" i="5"/>
  <c r="AU100" i="5"/>
  <c r="AV100" i="5"/>
  <c r="AW100" i="5"/>
  <c r="AR101" i="5"/>
  <c r="AS101" i="5"/>
  <c r="AT101" i="5"/>
  <c r="AU101" i="5"/>
  <c r="AV101" i="5"/>
  <c r="AW101" i="5"/>
  <c r="AR102" i="5"/>
  <c r="AS102" i="5"/>
  <c r="AT102" i="5"/>
  <c r="AU102" i="5"/>
  <c r="AV102" i="5"/>
  <c r="AW102" i="5"/>
  <c r="AR103" i="5"/>
  <c r="AS103" i="5"/>
  <c r="AT103" i="5"/>
  <c r="AU103" i="5"/>
  <c r="AV103" i="5"/>
  <c r="AW103" i="5"/>
  <c r="AR104" i="5"/>
  <c r="AS104" i="5"/>
  <c r="AT104" i="5"/>
  <c r="AU104" i="5"/>
  <c r="AV104" i="5"/>
  <c r="AW104" i="5"/>
  <c r="AR105" i="5"/>
  <c r="AS105" i="5"/>
  <c r="AT105" i="5"/>
  <c r="AU105" i="5"/>
  <c r="AV105" i="5"/>
  <c r="AW105" i="5"/>
  <c r="AR106" i="5"/>
  <c r="AS106" i="5"/>
  <c r="AT106" i="5"/>
  <c r="AU106" i="5"/>
  <c r="AV106" i="5"/>
  <c r="AW106" i="5"/>
  <c r="AR107" i="5"/>
  <c r="AS107" i="5"/>
  <c r="AT107" i="5"/>
  <c r="AU107" i="5"/>
  <c r="AV107" i="5"/>
  <c r="AW107" i="5"/>
  <c r="AW8" i="5"/>
  <c r="AV8" i="5"/>
  <c r="AU8" i="5"/>
  <c r="AT8" i="5"/>
  <c r="AS8" i="5"/>
  <c r="AR8" i="5"/>
  <c r="AL9" i="5"/>
  <c r="AM9" i="5"/>
  <c r="AN9" i="5"/>
  <c r="AO9" i="5"/>
  <c r="AP9" i="5"/>
  <c r="AQ9" i="5"/>
  <c r="AL10" i="5"/>
  <c r="AM10" i="5"/>
  <c r="AN10" i="5"/>
  <c r="AO10" i="5"/>
  <c r="AP10" i="5"/>
  <c r="AQ10" i="5"/>
  <c r="AL11" i="5"/>
  <c r="AM11" i="5"/>
  <c r="AN11" i="5"/>
  <c r="AO11" i="5"/>
  <c r="AP11" i="5"/>
  <c r="AQ11" i="5"/>
  <c r="AL12" i="5"/>
  <c r="AM12" i="5"/>
  <c r="AN12" i="5"/>
  <c r="AO12" i="5"/>
  <c r="AP12" i="5"/>
  <c r="AQ12" i="5"/>
  <c r="AL13" i="5"/>
  <c r="AM13" i="5"/>
  <c r="AN13" i="5"/>
  <c r="AO13" i="5"/>
  <c r="AP13" i="5"/>
  <c r="AQ13" i="5"/>
  <c r="AL14" i="5"/>
  <c r="AM14" i="5"/>
  <c r="AN14" i="5"/>
  <c r="AO14" i="5"/>
  <c r="AP14" i="5"/>
  <c r="AQ14" i="5"/>
  <c r="AL15" i="5"/>
  <c r="AM15" i="5"/>
  <c r="AN15" i="5"/>
  <c r="AO15" i="5"/>
  <c r="AP15" i="5"/>
  <c r="AQ15" i="5"/>
  <c r="AL16" i="5"/>
  <c r="AM16" i="5"/>
  <c r="AN16" i="5"/>
  <c r="AO16" i="5"/>
  <c r="AP16" i="5"/>
  <c r="AQ16" i="5"/>
  <c r="AL17" i="5"/>
  <c r="AM17" i="5"/>
  <c r="AN17" i="5"/>
  <c r="AO17" i="5"/>
  <c r="AP17" i="5"/>
  <c r="AQ17" i="5"/>
  <c r="AL18" i="5"/>
  <c r="AM18" i="5"/>
  <c r="AN18" i="5"/>
  <c r="AO18" i="5"/>
  <c r="AP18" i="5"/>
  <c r="AQ18" i="5"/>
  <c r="AL19" i="5"/>
  <c r="AM19" i="5"/>
  <c r="AN19" i="5"/>
  <c r="AO19" i="5"/>
  <c r="AP19" i="5"/>
  <c r="AQ19" i="5"/>
  <c r="AL20" i="5"/>
  <c r="AM20" i="5"/>
  <c r="AN20" i="5"/>
  <c r="AO20" i="5"/>
  <c r="AP20" i="5"/>
  <c r="AQ20" i="5"/>
  <c r="AL21" i="5"/>
  <c r="AM21" i="5"/>
  <c r="AN21" i="5"/>
  <c r="AO21" i="5"/>
  <c r="AP21" i="5"/>
  <c r="AQ21" i="5"/>
  <c r="AL22" i="5"/>
  <c r="AM22" i="5"/>
  <c r="AN22" i="5"/>
  <c r="AO22" i="5"/>
  <c r="AP22" i="5"/>
  <c r="AQ22" i="5"/>
  <c r="AL23" i="5"/>
  <c r="AM23" i="5"/>
  <c r="AN23" i="5"/>
  <c r="AO23" i="5"/>
  <c r="AP23" i="5"/>
  <c r="AQ23" i="5"/>
  <c r="AL24" i="5"/>
  <c r="AM24" i="5"/>
  <c r="AN24" i="5"/>
  <c r="AO24" i="5"/>
  <c r="AP24" i="5"/>
  <c r="AQ24" i="5"/>
  <c r="AL25" i="5"/>
  <c r="AM25" i="5"/>
  <c r="AN25" i="5"/>
  <c r="AO25" i="5"/>
  <c r="AP25" i="5"/>
  <c r="AQ25" i="5"/>
  <c r="AL26" i="5"/>
  <c r="AM26" i="5"/>
  <c r="AN26" i="5"/>
  <c r="AO26" i="5"/>
  <c r="AP26" i="5"/>
  <c r="AQ26" i="5"/>
  <c r="AL27" i="5"/>
  <c r="AM27" i="5"/>
  <c r="AN27" i="5"/>
  <c r="AO27" i="5"/>
  <c r="AP27" i="5"/>
  <c r="AQ27" i="5"/>
  <c r="AL28" i="5"/>
  <c r="AM28" i="5"/>
  <c r="AN28" i="5"/>
  <c r="AO28" i="5"/>
  <c r="AP28" i="5"/>
  <c r="AQ28" i="5"/>
  <c r="AL29" i="5"/>
  <c r="AM29" i="5"/>
  <c r="AN29" i="5"/>
  <c r="AO29" i="5"/>
  <c r="AP29" i="5"/>
  <c r="AQ29" i="5"/>
  <c r="AL30" i="5"/>
  <c r="AM30" i="5"/>
  <c r="AN30" i="5"/>
  <c r="AO30" i="5"/>
  <c r="AP30" i="5"/>
  <c r="AQ30" i="5"/>
  <c r="AL31" i="5"/>
  <c r="AM31" i="5"/>
  <c r="AN31" i="5"/>
  <c r="AO31" i="5"/>
  <c r="AP31" i="5"/>
  <c r="AQ31" i="5"/>
  <c r="AL32" i="5"/>
  <c r="AM32" i="5"/>
  <c r="AN32" i="5"/>
  <c r="AO32" i="5"/>
  <c r="AP32" i="5"/>
  <c r="AQ32" i="5"/>
  <c r="AL33" i="5"/>
  <c r="AM33" i="5"/>
  <c r="AN33" i="5"/>
  <c r="AO33" i="5"/>
  <c r="AP33" i="5"/>
  <c r="AQ33" i="5"/>
  <c r="AL34" i="5"/>
  <c r="AM34" i="5"/>
  <c r="AN34" i="5"/>
  <c r="AO34" i="5"/>
  <c r="AP34" i="5"/>
  <c r="AQ34" i="5"/>
  <c r="AL35" i="5"/>
  <c r="AM35" i="5"/>
  <c r="AN35" i="5"/>
  <c r="AO35" i="5"/>
  <c r="AP35" i="5"/>
  <c r="AQ35" i="5"/>
  <c r="AL36" i="5"/>
  <c r="AM36" i="5"/>
  <c r="AN36" i="5"/>
  <c r="AO36" i="5"/>
  <c r="AP36" i="5"/>
  <c r="AQ36" i="5"/>
  <c r="AL37" i="5"/>
  <c r="AM37" i="5"/>
  <c r="AN37" i="5"/>
  <c r="AO37" i="5"/>
  <c r="AP37" i="5"/>
  <c r="AQ37" i="5"/>
  <c r="AL38" i="5"/>
  <c r="AM38" i="5"/>
  <c r="AN38" i="5"/>
  <c r="AO38" i="5"/>
  <c r="AP38" i="5"/>
  <c r="AQ38" i="5"/>
  <c r="AL39" i="5"/>
  <c r="AM39" i="5"/>
  <c r="AN39" i="5"/>
  <c r="AO39" i="5"/>
  <c r="AP39" i="5"/>
  <c r="AQ39" i="5"/>
  <c r="AL40" i="5"/>
  <c r="AM40" i="5"/>
  <c r="AN40" i="5"/>
  <c r="AO40" i="5"/>
  <c r="AP40" i="5"/>
  <c r="AQ40" i="5"/>
  <c r="AL41" i="5"/>
  <c r="AM41" i="5"/>
  <c r="AN41" i="5"/>
  <c r="AO41" i="5"/>
  <c r="AP41" i="5"/>
  <c r="AQ41" i="5"/>
  <c r="AL42" i="5"/>
  <c r="AM42" i="5"/>
  <c r="AN42" i="5"/>
  <c r="AO42" i="5"/>
  <c r="AP42" i="5"/>
  <c r="AQ42" i="5"/>
  <c r="AL43" i="5"/>
  <c r="AM43" i="5"/>
  <c r="AN43" i="5"/>
  <c r="AO43" i="5"/>
  <c r="AP43" i="5"/>
  <c r="AQ43" i="5"/>
  <c r="AL44" i="5"/>
  <c r="AM44" i="5"/>
  <c r="AN44" i="5"/>
  <c r="AO44" i="5"/>
  <c r="AP44" i="5"/>
  <c r="AQ44" i="5"/>
  <c r="AL45" i="5"/>
  <c r="AM45" i="5"/>
  <c r="AN45" i="5"/>
  <c r="AO45" i="5"/>
  <c r="AP45" i="5"/>
  <c r="AQ45" i="5"/>
  <c r="AL46" i="5"/>
  <c r="AM46" i="5"/>
  <c r="AN46" i="5"/>
  <c r="AO46" i="5"/>
  <c r="AP46" i="5"/>
  <c r="AQ46" i="5"/>
  <c r="AL47" i="5"/>
  <c r="AM47" i="5"/>
  <c r="AN47" i="5"/>
  <c r="AO47" i="5"/>
  <c r="AP47" i="5"/>
  <c r="AQ47" i="5"/>
  <c r="AL48" i="5"/>
  <c r="AM48" i="5"/>
  <c r="AN48" i="5"/>
  <c r="AO48" i="5"/>
  <c r="AP48" i="5"/>
  <c r="AQ48" i="5"/>
  <c r="AL49" i="5"/>
  <c r="AM49" i="5"/>
  <c r="AN49" i="5"/>
  <c r="AO49" i="5"/>
  <c r="AP49" i="5"/>
  <c r="AQ49" i="5"/>
  <c r="AL50" i="5"/>
  <c r="AM50" i="5"/>
  <c r="AN50" i="5"/>
  <c r="AO50" i="5"/>
  <c r="AP50" i="5"/>
  <c r="AQ50" i="5"/>
  <c r="AL51" i="5"/>
  <c r="AM51" i="5"/>
  <c r="AN51" i="5"/>
  <c r="AO51" i="5"/>
  <c r="AP51" i="5"/>
  <c r="AQ51" i="5"/>
  <c r="AL52" i="5"/>
  <c r="AM52" i="5"/>
  <c r="AN52" i="5"/>
  <c r="AO52" i="5"/>
  <c r="AP52" i="5"/>
  <c r="AQ52" i="5"/>
  <c r="AL53" i="5"/>
  <c r="AM53" i="5"/>
  <c r="AN53" i="5"/>
  <c r="AO53" i="5"/>
  <c r="AP53" i="5"/>
  <c r="AQ53" i="5"/>
  <c r="AL54" i="5"/>
  <c r="AM54" i="5"/>
  <c r="AN54" i="5"/>
  <c r="AO54" i="5"/>
  <c r="AP54" i="5"/>
  <c r="AQ54" i="5"/>
  <c r="AL55" i="5"/>
  <c r="AM55" i="5"/>
  <c r="AN55" i="5"/>
  <c r="AO55" i="5"/>
  <c r="AP55" i="5"/>
  <c r="AQ55" i="5"/>
  <c r="AL56" i="5"/>
  <c r="AM56" i="5"/>
  <c r="AN56" i="5"/>
  <c r="AO56" i="5"/>
  <c r="AP56" i="5"/>
  <c r="AQ56" i="5"/>
  <c r="AL57" i="5"/>
  <c r="AM57" i="5"/>
  <c r="AN57" i="5"/>
  <c r="AO57" i="5"/>
  <c r="AP57" i="5"/>
  <c r="AQ57" i="5"/>
  <c r="AL58" i="5"/>
  <c r="AM58" i="5"/>
  <c r="AN58" i="5"/>
  <c r="AO58" i="5"/>
  <c r="AP58" i="5"/>
  <c r="AQ58" i="5"/>
  <c r="AL59" i="5"/>
  <c r="AM59" i="5"/>
  <c r="AN59" i="5"/>
  <c r="AO59" i="5"/>
  <c r="AP59" i="5"/>
  <c r="AQ59" i="5"/>
  <c r="AL60" i="5"/>
  <c r="AM60" i="5"/>
  <c r="AN60" i="5"/>
  <c r="AO60" i="5"/>
  <c r="AP60" i="5"/>
  <c r="AQ60" i="5"/>
  <c r="AL61" i="5"/>
  <c r="AM61" i="5"/>
  <c r="AN61" i="5"/>
  <c r="AO61" i="5"/>
  <c r="AP61" i="5"/>
  <c r="AQ61" i="5"/>
  <c r="AL62" i="5"/>
  <c r="AM62" i="5"/>
  <c r="AN62" i="5"/>
  <c r="AO62" i="5"/>
  <c r="AP62" i="5"/>
  <c r="AQ62" i="5"/>
  <c r="AL63" i="5"/>
  <c r="AM63" i="5"/>
  <c r="AN63" i="5"/>
  <c r="AO63" i="5"/>
  <c r="AP63" i="5"/>
  <c r="AQ63" i="5"/>
  <c r="AL64" i="5"/>
  <c r="AM64" i="5"/>
  <c r="AN64" i="5"/>
  <c r="AO64" i="5"/>
  <c r="AP64" i="5"/>
  <c r="AQ64" i="5"/>
  <c r="AL65" i="5"/>
  <c r="AM65" i="5"/>
  <c r="AN65" i="5"/>
  <c r="AO65" i="5"/>
  <c r="AP65" i="5"/>
  <c r="AQ65" i="5"/>
  <c r="AL66" i="5"/>
  <c r="AM66" i="5"/>
  <c r="AN66" i="5"/>
  <c r="AO66" i="5"/>
  <c r="AP66" i="5"/>
  <c r="AQ66" i="5"/>
  <c r="AL67" i="5"/>
  <c r="AM67" i="5"/>
  <c r="AN67" i="5"/>
  <c r="AO67" i="5"/>
  <c r="AP67" i="5"/>
  <c r="AQ67" i="5"/>
  <c r="AL68" i="5"/>
  <c r="AM68" i="5"/>
  <c r="AN68" i="5"/>
  <c r="AO68" i="5"/>
  <c r="AP68" i="5"/>
  <c r="AQ68" i="5"/>
  <c r="AL69" i="5"/>
  <c r="AM69" i="5"/>
  <c r="AN69" i="5"/>
  <c r="AO69" i="5"/>
  <c r="AP69" i="5"/>
  <c r="AQ69" i="5"/>
  <c r="AL70" i="5"/>
  <c r="AM70" i="5"/>
  <c r="AN70" i="5"/>
  <c r="AO70" i="5"/>
  <c r="AP70" i="5"/>
  <c r="AQ70" i="5"/>
  <c r="AL71" i="5"/>
  <c r="AM71" i="5"/>
  <c r="AN71" i="5"/>
  <c r="AO71" i="5"/>
  <c r="AP71" i="5"/>
  <c r="AQ71" i="5"/>
  <c r="AL72" i="5"/>
  <c r="AM72" i="5"/>
  <c r="AN72" i="5"/>
  <c r="AO72" i="5"/>
  <c r="AP72" i="5"/>
  <c r="AQ72" i="5"/>
  <c r="AL73" i="5"/>
  <c r="AM73" i="5"/>
  <c r="AN73" i="5"/>
  <c r="AO73" i="5"/>
  <c r="AP73" i="5"/>
  <c r="AQ73" i="5"/>
  <c r="AL74" i="5"/>
  <c r="AM74" i="5"/>
  <c r="AN74" i="5"/>
  <c r="AO74" i="5"/>
  <c r="AP74" i="5"/>
  <c r="AQ74" i="5"/>
  <c r="AL75" i="5"/>
  <c r="AM75" i="5"/>
  <c r="AN75" i="5"/>
  <c r="AO75" i="5"/>
  <c r="AP75" i="5"/>
  <c r="AQ75" i="5"/>
  <c r="AL76" i="5"/>
  <c r="AM76" i="5"/>
  <c r="AN76" i="5"/>
  <c r="AO76" i="5"/>
  <c r="AP76" i="5"/>
  <c r="AQ76" i="5"/>
  <c r="AL77" i="5"/>
  <c r="AM77" i="5"/>
  <c r="AN77" i="5"/>
  <c r="AO77" i="5"/>
  <c r="AP77" i="5"/>
  <c r="AQ77" i="5"/>
  <c r="AL78" i="5"/>
  <c r="AM78" i="5"/>
  <c r="AN78" i="5"/>
  <c r="AO78" i="5"/>
  <c r="AP78" i="5"/>
  <c r="AQ78" i="5"/>
  <c r="AL79" i="5"/>
  <c r="AM79" i="5"/>
  <c r="AN79" i="5"/>
  <c r="AO79" i="5"/>
  <c r="AP79" i="5"/>
  <c r="AQ79" i="5"/>
  <c r="AL80" i="5"/>
  <c r="AM80" i="5"/>
  <c r="AN80" i="5"/>
  <c r="AO80" i="5"/>
  <c r="AP80" i="5"/>
  <c r="AQ80" i="5"/>
  <c r="AL81" i="5"/>
  <c r="AM81" i="5"/>
  <c r="AN81" i="5"/>
  <c r="AO81" i="5"/>
  <c r="AP81" i="5"/>
  <c r="AQ81" i="5"/>
  <c r="AL82" i="5"/>
  <c r="AM82" i="5"/>
  <c r="AN82" i="5"/>
  <c r="AO82" i="5"/>
  <c r="AP82" i="5"/>
  <c r="AQ82" i="5"/>
  <c r="AL83" i="5"/>
  <c r="AM83" i="5"/>
  <c r="AN83" i="5"/>
  <c r="AO83" i="5"/>
  <c r="AP83" i="5"/>
  <c r="AQ83" i="5"/>
  <c r="AL84" i="5"/>
  <c r="AM84" i="5"/>
  <c r="AN84" i="5"/>
  <c r="AO84" i="5"/>
  <c r="AP84" i="5"/>
  <c r="AQ84" i="5"/>
  <c r="AL85" i="5"/>
  <c r="AM85" i="5"/>
  <c r="AN85" i="5"/>
  <c r="AO85" i="5"/>
  <c r="AP85" i="5"/>
  <c r="AQ85" i="5"/>
  <c r="AL86" i="5"/>
  <c r="AM86" i="5"/>
  <c r="AN86" i="5"/>
  <c r="AO86" i="5"/>
  <c r="AP86" i="5"/>
  <c r="AQ86" i="5"/>
  <c r="AL87" i="5"/>
  <c r="AM87" i="5"/>
  <c r="AN87" i="5"/>
  <c r="AO87" i="5"/>
  <c r="AP87" i="5"/>
  <c r="AQ87" i="5"/>
  <c r="AL88" i="5"/>
  <c r="AM88" i="5"/>
  <c r="AN88" i="5"/>
  <c r="AO88" i="5"/>
  <c r="AP88" i="5"/>
  <c r="AQ88" i="5"/>
  <c r="AL89" i="5"/>
  <c r="AM89" i="5"/>
  <c r="AN89" i="5"/>
  <c r="AO89" i="5"/>
  <c r="AP89" i="5"/>
  <c r="AQ89" i="5"/>
  <c r="AL90" i="5"/>
  <c r="AM90" i="5"/>
  <c r="AN90" i="5"/>
  <c r="AO90" i="5"/>
  <c r="AP90" i="5"/>
  <c r="AQ90" i="5"/>
  <c r="AL91" i="5"/>
  <c r="AM91" i="5"/>
  <c r="AN91" i="5"/>
  <c r="AO91" i="5"/>
  <c r="AP91" i="5"/>
  <c r="AQ91" i="5"/>
  <c r="AL92" i="5"/>
  <c r="AM92" i="5"/>
  <c r="AN92" i="5"/>
  <c r="AO92" i="5"/>
  <c r="AP92" i="5"/>
  <c r="AQ92" i="5"/>
  <c r="AL93" i="5"/>
  <c r="AM93" i="5"/>
  <c r="AN93" i="5"/>
  <c r="AO93" i="5"/>
  <c r="AP93" i="5"/>
  <c r="AQ93" i="5"/>
  <c r="AL94" i="5"/>
  <c r="AM94" i="5"/>
  <c r="AN94" i="5"/>
  <c r="AO94" i="5"/>
  <c r="AP94" i="5"/>
  <c r="AQ94" i="5"/>
  <c r="AL95" i="5"/>
  <c r="AM95" i="5"/>
  <c r="AN95" i="5"/>
  <c r="AO95" i="5"/>
  <c r="AP95" i="5"/>
  <c r="AQ95" i="5"/>
  <c r="AL96" i="5"/>
  <c r="AM96" i="5"/>
  <c r="AN96" i="5"/>
  <c r="AO96" i="5"/>
  <c r="AP96" i="5"/>
  <c r="AQ96" i="5"/>
  <c r="AL97" i="5"/>
  <c r="AM97" i="5"/>
  <c r="AN97" i="5"/>
  <c r="AO97" i="5"/>
  <c r="AP97" i="5"/>
  <c r="AQ97" i="5"/>
  <c r="AL98" i="5"/>
  <c r="AM98" i="5"/>
  <c r="AN98" i="5"/>
  <c r="AO98" i="5"/>
  <c r="AP98" i="5"/>
  <c r="AQ98" i="5"/>
  <c r="AL99" i="5"/>
  <c r="AM99" i="5"/>
  <c r="AN99" i="5"/>
  <c r="AO99" i="5"/>
  <c r="AP99" i="5"/>
  <c r="AQ99" i="5"/>
  <c r="AL100" i="5"/>
  <c r="AM100" i="5"/>
  <c r="AN100" i="5"/>
  <c r="AO100" i="5"/>
  <c r="AP100" i="5"/>
  <c r="AQ100" i="5"/>
  <c r="AL101" i="5"/>
  <c r="AM101" i="5"/>
  <c r="AN101" i="5"/>
  <c r="AO101" i="5"/>
  <c r="AP101" i="5"/>
  <c r="AQ101" i="5"/>
  <c r="AL102" i="5"/>
  <c r="AM102" i="5"/>
  <c r="AN102" i="5"/>
  <c r="AO102" i="5"/>
  <c r="AP102" i="5"/>
  <c r="AQ102" i="5"/>
  <c r="AL103" i="5"/>
  <c r="AM103" i="5"/>
  <c r="AN103" i="5"/>
  <c r="AO103" i="5"/>
  <c r="AP103" i="5"/>
  <c r="AQ103" i="5"/>
  <c r="AL104" i="5"/>
  <c r="AM104" i="5"/>
  <c r="AN104" i="5"/>
  <c r="AO104" i="5"/>
  <c r="AP104" i="5"/>
  <c r="AQ104" i="5"/>
  <c r="AL105" i="5"/>
  <c r="AM105" i="5"/>
  <c r="AN105" i="5"/>
  <c r="AO105" i="5"/>
  <c r="AP105" i="5"/>
  <c r="AQ105" i="5"/>
  <c r="AL106" i="5"/>
  <c r="AM106" i="5"/>
  <c r="AN106" i="5"/>
  <c r="AO106" i="5"/>
  <c r="AP106" i="5"/>
  <c r="AQ106" i="5"/>
  <c r="AL107" i="5"/>
  <c r="AM107" i="5"/>
  <c r="AN107" i="5"/>
  <c r="AO107" i="5"/>
  <c r="AP107" i="5"/>
  <c r="AQ107" i="5"/>
  <c r="AQ8" i="5"/>
  <c r="AP8" i="5"/>
  <c r="AO8" i="5"/>
  <c r="AN8" i="5"/>
  <c r="AM8" i="5"/>
  <c r="AL8" i="5"/>
  <c r="AJ107" i="5" l="1"/>
  <c r="F107" i="5"/>
  <c r="B107" i="5"/>
  <c r="C107" i="5" s="1"/>
  <c r="E107" i="5" s="1"/>
  <c r="AJ106" i="5"/>
  <c r="F106" i="5"/>
  <c r="B106" i="5"/>
  <c r="C106" i="5" s="1"/>
  <c r="E106" i="5" s="1"/>
  <c r="AJ105" i="5"/>
  <c r="F105" i="5"/>
  <c r="B105" i="5"/>
  <c r="C105" i="5" s="1"/>
  <c r="AJ104" i="5"/>
  <c r="F104" i="5"/>
  <c r="B104" i="5"/>
  <c r="C104" i="5" s="1"/>
  <c r="AJ103" i="5"/>
  <c r="F103" i="5"/>
  <c r="B103" i="5"/>
  <c r="C103" i="5" s="1"/>
  <c r="AJ102" i="5"/>
  <c r="F102" i="5"/>
  <c r="B102" i="5"/>
  <c r="C102" i="5" s="1"/>
  <c r="AJ101" i="5"/>
  <c r="F101" i="5"/>
  <c r="B101" i="5"/>
  <c r="C101" i="5" s="1"/>
  <c r="AJ100" i="5"/>
  <c r="F100" i="5"/>
  <c r="B100" i="5"/>
  <c r="C100" i="5" s="1"/>
  <c r="E100" i="5" s="1"/>
  <c r="AJ99" i="5"/>
  <c r="F99" i="5"/>
  <c r="B99" i="5"/>
  <c r="C99" i="5" s="1"/>
  <c r="E99" i="5" s="1"/>
  <c r="AJ98" i="5"/>
  <c r="F98" i="5"/>
  <c r="B98" i="5"/>
  <c r="C98" i="5" s="1"/>
  <c r="E98" i="5" s="1"/>
  <c r="AJ97" i="5"/>
  <c r="F97" i="5"/>
  <c r="B97" i="5"/>
  <c r="C97" i="5" s="1"/>
  <c r="AJ96" i="5"/>
  <c r="F96" i="5"/>
  <c r="B96" i="5"/>
  <c r="C96" i="5" s="1"/>
  <c r="AJ95" i="5"/>
  <c r="F95" i="5"/>
  <c r="B95" i="5"/>
  <c r="C95" i="5" s="1"/>
  <c r="AJ94" i="5"/>
  <c r="F94" i="5"/>
  <c r="B94" i="5"/>
  <c r="C94" i="5" s="1"/>
  <c r="AJ93" i="5"/>
  <c r="F93" i="5"/>
  <c r="B93" i="5"/>
  <c r="C93" i="5" s="1"/>
  <c r="AJ92" i="5"/>
  <c r="F92" i="5"/>
  <c r="B92" i="5"/>
  <c r="C92" i="5" s="1"/>
  <c r="AJ91" i="5"/>
  <c r="F91" i="5"/>
  <c r="B91" i="5"/>
  <c r="C91" i="5" s="1"/>
  <c r="AJ90" i="5"/>
  <c r="F90" i="5"/>
  <c r="B90" i="5"/>
  <c r="C90" i="5" s="1"/>
  <c r="AJ89" i="5"/>
  <c r="F89" i="5"/>
  <c r="B89" i="5"/>
  <c r="C89" i="5" s="1"/>
  <c r="AJ88" i="5"/>
  <c r="F88" i="5"/>
  <c r="B88" i="5"/>
  <c r="C88" i="5" s="1"/>
  <c r="AJ87" i="5"/>
  <c r="F87" i="5"/>
  <c r="B87" i="5"/>
  <c r="C87" i="5" s="1"/>
  <c r="AJ86" i="5"/>
  <c r="F86" i="5"/>
  <c r="B86" i="5"/>
  <c r="C86" i="5" s="1"/>
  <c r="AJ85" i="5"/>
  <c r="F85" i="5"/>
  <c r="B85" i="5"/>
  <c r="C85" i="5" s="1"/>
  <c r="AJ84" i="5"/>
  <c r="F84" i="5"/>
  <c r="B84" i="5"/>
  <c r="C84" i="5" s="1"/>
  <c r="AJ83" i="5"/>
  <c r="F83" i="5"/>
  <c r="B83" i="5"/>
  <c r="C83" i="5" s="1"/>
  <c r="AJ82" i="5"/>
  <c r="F82" i="5"/>
  <c r="B82" i="5"/>
  <c r="C82" i="5" s="1"/>
  <c r="AJ81" i="5"/>
  <c r="F81" i="5"/>
  <c r="B81" i="5"/>
  <c r="C81" i="5" s="1"/>
  <c r="AJ80" i="5"/>
  <c r="F80" i="5"/>
  <c r="B80" i="5"/>
  <c r="C80" i="5" s="1"/>
  <c r="AJ79" i="5"/>
  <c r="F79" i="5"/>
  <c r="B79" i="5"/>
  <c r="C79" i="5" s="1"/>
  <c r="D79" i="5" s="1"/>
  <c r="AJ78" i="5"/>
  <c r="F78" i="5"/>
  <c r="B78" i="5"/>
  <c r="C78" i="5" s="1"/>
  <c r="D78" i="5" s="1"/>
  <c r="AJ77" i="5"/>
  <c r="F77" i="5"/>
  <c r="B77" i="5"/>
  <c r="C77" i="5" s="1"/>
  <c r="D77" i="5" s="1"/>
  <c r="AJ76" i="5"/>
  <c r="F76" i="5"/>
  <c r="B76" i="5"/>
  <c r="C76" i="5" s="1"/>
  <c r="D76" i="5" s="1"/>
  <c r="AJ75" i="5"/>
  <c r="F75" i="5"/>
  <c r="B75" i="5"/>
  <c r="C75" i="5" s="1"/>
  <c r="D75" i="5" s="1"/>
  <c r="AJ74" i="5"/>
  <c r="F74" i="5"/>
  <c r="B74" i="5"/>
  <c r="C74" i="5" s="1"/>
  <c r="D74" i="5" s="1"/>
  <c r="AJ73" i="5"/>
  <c r="F73" i="5"/>
  <c r="B73" i="5"/>
  <c r="C73" i="5" s="1"/>
  <c r="D73" i="5" s="1"/>
  <c r="AJ72" i="5"/>
  <c r="F72" i="5"/>
  <c r="B72" i="5"/>
  <c r="C72" i="5" s="1"/>
  <c r="D72" i="5" s="1"/>
  <c r="AJ71" i="5"/>
  <c r="F71" i="5"/>
  <c r="B71" i="5"/>
  <c r="C71" i="5" s="1"/>
  <c r="D71" i="5" s="1"/>
  <c r="AJ70" i="5"/>
  <c r="F70" i="5"/>
  <c r="B70" i="5"/>
  <c r="C70" i="5" s="1"/>
  <c r="D70" i="5" s="1"/>
  <c r="G70" i="5" s="1"/>
  <c r="AJ69" i="5"/>
  <c r="F69" i="5"/>
  <c r="B69" i="5"/>
  <c r="C69" i="5" s="1"/>
  <c r="D69" i="5" s="1"/>
  <c r="AJ68" i="5"/>
  <c r="F68" i="5"/>
  <c r="B68" i="5"/>
  <c r="C68" i="5" s="1"/>
  <c r="D68" i="5" s="1"/>
  <c r="AJ67" i="5"/>
  <c r="F67" i="5"/>
  <c r="B67" i="5"/>
  <c r="C67" i="5" s="1"/>
  <c r="D67" i="5" s="1"/>
  <c r="AJ66" i="5"/>
  <c r="F66" i="5"/>
  <c r="B66" i="5"/>
  <c r="C66" i="5" s="1"/>
  <c r="D66" i="5" s="1"/>
  <c r="AJ65" i="5"/>
  <c r="F65" i="5"/>
  <c r="B65" i="5"/>
  <c r="C65" i="5" s="1"/>
  <c r="D65" i="5" s="1"/>
  <c r="AJ64" i="5"/>
  <c r="F64" i="5"/>
  <c r="B64" i="5"/>
  <c r="C64" i="5" s="1"/>
  <c r="D64" i="5" s="1"/>
  <c r="AJ63" i="5"/>
  <c r="F63" i="5"/>
  <c r="B63" i="5"/>
  <c r="C63" i="5" s="1"/>
  <c r="D63" i="5" s="1"/>
  <c r="AJ62" i="5"/>
  <c r="F62" i="5"/>
  <c r="B62" i="5"/>
  <c r="C62" i="5" s="1"/>
  <c r="D62" i="5" s="1"/>
  <c r="AJ61" i="5"/>
  <c r="F61" i="5"/>
  <c r="B61" i="5"/>
  <c r="C61" i="5" s="1"/>
  <c r="D61" i="5" s="1"/>
  <c r="AJ60" i="5"/>
  <c r="F60" i="5"/>
  <c r="B60" i="5"/>
  <c r="C60" i="5" s="1"/>
  <c r="D60" i="5" s="1"/>
  <c r="G60" i="5" s="1"/>
  <c r="AJ59" i="5"/>
  <c r="F59" i="5"/>
  <c r="B59" i="5"/>
  <c r="C59" i="5" s="1"/>
  <c r="D59" i="5" s="1"/>
  <c r="AJ58" i="5"/>
  <c r="F58" i="5"/>
  <c r="B58" i="5"/>
  <c r="C58" i="5" s="1"/>
  <c r="D58" i="5" s="1"/>
  <c r="AJ57" i="5"/>
  <c r="F57" i="5"/>
  <c r="B57" i="5"/>
  <c r="C57" i="5" s="1"/>
  <c r="D57" i="5" s="1"/>
  <c r="AJ56" i="5"/>
  <c r="F56" i="5"/>
  <c r="B56" i="5"/>
  <c r="C56" i="5" s="1"/>
  <c r="D56" i="5" s="1"/>
  <c r="G56" i="5" s="1"/>
  <c r="AJ55" i="5"/>
  <c r="F55" i="5"/>
  <c r="B55" i="5"/>
  <c r="C55" i="5" s="1"/>
  <c r="D55" i="5" s="1"/>
  <c r="AJ54" i="5"/>
  <c r="F54" i="5"/>
  <c r="B54" i="5"/>
  <c r="C54" i="5" s="1"/>
  <c r="D54" i="5" s="1"/>
  <c r="AJ53" i="5"/>
  <c r="F53" i="5"/>
  <c r="B53" i="5"/>
  <c r="C53" i="5" s="1"/>
  <c r="AJ52" i="5"/>
  <c r="F52" i="5"/>
  <c r="B52" i="5"/>
  <c r="C52" i="5" s="1"/>
  <c r="D52" i="5" s="1"/>
  <c r="AJ51" i="5"/>
  <c r="F51" i="5"/>
  <c r="B51" i="5"/>
  <c r="C51" i="5" s="1"/>
  <c r="AJ50" i="5"/>
  <c r="F50" i="5"/>
  <c r="B50" i="5"/>
  <c r="C50" i="5" s="1"/>
  <c r="D50" i="5" s="1"/>
  <c r="AJ49" i="5"/>
  <c r="F49" i="5"/>
  <c r="B49" i="5"/>
  <c r="C49" i="5" s="1"/>
  <c r="AJ48" i="5"/>
  <c r="F48" i="5"/>
  <c r="B48" i="5"/>
  <c r="C48" i="5" s="1"/>
  <c r="D48" i="5" s="1"/>
  <c r="AJ47" i="5"/>
  <c r="F47" i="5"/>
  <c r="B47" i="5"/>
  <c r="C47" i="5" s="1"/>
  <c r="AJ46" i="5"/>
  <c r="F46" i="5"/>
  <c r="B46" i="5"/>
  <c r="C46" i="5" s="1"/>
  <c r="D46" i="5" s="1"/>
  <c r="AJ45" i="5"/>
  <c r="F45" i="5"/>
  <c r="B45" i="5"/>
  <c r="C45" i="5" s="1"/>
  <c r="AJ44" i="5"/>
  <c r="F44" i="5"/>
  <c r="B44" i="5"/>
  <c r="C44" i="5" s="1"/>
  <c r="D44" i="5" s="1"/>
  <c r="AJ43" i="5"/>
  <c r="F43" i="5"/>
  <c r="B43" i="5"/>
  <c r="C43" i="5" s="1"/>
  <c r="AJ42" i="5"/>
  <c r="F42" i="5"/>
  <c r="B42" i="5"/>
  <c r="C42" i="5" s="1"/>
  <c r="AJ41" i="5"/>
  <c r="F41" i="5"/>
  <c r="B41" i="5"/>
  <c r="C41" i="5" s="1"/>
  <c r="AJ40" i="5"/>
  <c r="F40" i="5"/>
  <c r="B40" i="5"/>
  <c r="C40" i="5" s="1"/>
  <c r="AJ39" i="5"/>
  <c r="F39" i="5"/>
  <c r="B39" i="5"/>
  <c r="C39" i="5" s="1"/>
  <c r="AJ38" i="5"/>
  <c r="F38" i="5"/>
  <c r="B38" i="5"/>
  <c r="C38" i="5" s="1"/>
  <c r="D38" i="5" s="1"/>
  <c r="G38" i="5" s="1"/>
  <c r="AJ37" i="5"/>
  <c r="F37" i="5"/>
  <c r="B37" i="5"/>
  <c r="C37" i="5" s="1"/>
  <c r="AJ36" i="5"/>
  <c r="F36" i="5"/>
  <c r="B36" i="5"/>
  <c r="C36" i="5" s="1"/>
  <c r="D36" i="5" s="1"/>
  <c r="AJ35" i="5"/>
  <c r="F35" i="5"/>
  <c r="B35" i="5"/>
  <c r="C35" i="5" s="1"/>
  <c r="AJ34" i="5"/>
  <c r="F34" i="5"/>
  <c r="B34" i="5"/>
  <c r="C34" i="5" s="1"/>
  <c r="AJ33" i="5"/>
  <c r="F33" i="5"/>
  <c r="B33" i="5"/>
  <c r="C33" i="5" s="1"/>
  <c r="AJ32" i="5"/>
  <c r="F32" i="5"/>
  <c r="B32" i="5"/>
  <c r="C32" i="5" s="1"/>
  <c r="AJ31" i="5"/>
  <c r="F31" i="5"/>
  <c r="B31" i="5"/>
  <c r="C31" i="5" s="1"/>
  <c r="AJ30" i="5"/>
  <c r="F30" i="5"/>
  <c r="B30" i="5"/>
  <c r="C30" i="5" s="1"/>
  <c r="D30" i="5" s="1"/>
  <c r="AJ29" i="5"/>
  <c r="F29" i="5"/>
  <c r="B29" i="5"/>
  <c r="C29" i="5" s="1"/>
  <c r="AJ28" i="5"/>
  <c r="F28" i="5"/>
  <c r="B28" i="5"/>
  <c r="C28" i="5" s="1"/>
  <c r="D28" i="5" s="1"/>
  <c r="AJ27" i="5"/>
  <c r="F27" i="5"/>
  <c r="B27" i="5"/>
  <c r="C27" i="5" s="1"/>
  <c r="AJ26" i="5"/>
  <c r="F26" i="5"/>
  <c r="B26" i="5"/>
  <c r="C26" i="5" s="1"/>
  <c r="AJ25" i="5"/>
  <c r="F25" i="5"/>
  <c r="B25" i="5"/>
  <c r="C25" i="5" s="1"/>
  <c r="AJ24" i="5"/>
  <c r="F24" i="5"/>
  <c r="B24" i="5"/>
  <c r="C24" i="5" s="1"/>
  <c r="AJ23" i="5"/>
  <c r="F23" i="5"/>
  <c r="B23" i="5"/>
  <c r="C23" i="5" s="1"/>
  <c r="AJ22" i="5"/>
  <c r="F22" i="5"/>
  <c r="B22" i="5"/>
  <c r="C22" i="5" s="1"/>
  <c r="D22" i="5" s="1"/>
  <c r="AJ21" i="5"/>
  <c r="F21" i="5"/>
  <c r="B21" i="5"/>
  <c r="C21" i="5" s="1"/>
  <c r="AJ20" i="5"/>
  <c r="F20" i="5"/>
  <c r="B20" i="5"/>
  <c r="C20" i="5" s="1"/>
  <c r="D20" i="5" s="1"/>
  <c r="AJ19" i="5"/>
  <c r="F19" i="5"/>
  <c r="B19" i="5"/>
  <c r="C19" i="5" s="1"/>
  <c r="AJ18" i="5"/>
  <c r="F18" i="5"/>
  <c r="B18" i="5"/>
  <c r="C18" i="5" s="1"/>
  <c r="D18" i="5" s="1"/>
  <c r="G18" i="5" s="1"/>
  <c r="AJ17" i="5"/>
  <c r="F17" i="5"/>
  <c r="B17" i="5"/>
  <c r="C17" i="5" s="1"/>
  <c r="AJ16" i="5"/>
  <c r="F16" i="5"/>
  <c r="B16" i="5"/>
  <c r="C16" i="5" s="1"/>
  <c r="D16" i="5" s="1"/>
  <c r="AJ15" i="5"/>
  <c r="F15" i="5"/>
  <c r="B15" i="5"/>
  <c r="C15" i="5" s="1"/>
  <c r="D15" i="5" s="1"/>
  <c r="AJ14" i="5"/>
  <c r="F14" i="5"/>
  <c r="B14" i="5"/>
  <c r="C14" i="5" s="1"/>
  <c r="E14" i="5" s="1"/>
  <c r="AJ13" i="5"/>
  <c r="F13" i="5"/>
  <c r="B13" i="5"/>
  <c r="C13" i="5" s="1"/>
  <c r="AJ12" i="5"/>
  <c r="F12" i="5"/>
  <c r="B12" i="5"/>
  <c r="C12" i="5" s="1"/>
  <c r="AJ11" i="5"/>
  <c r="F11" i="5"/>
  <c r="B11" i="5"/>
  <c r="C11" i="5" s="1"/>
  <c r="AJ10" i="5"/>
  <c r="F10" i="5"/>
  <c r="B10" i="5"/>
  <c r="C10" i="5" s="1"/>
  <c r="AJ9" i="5"/>
  <c r="F9" i="5"/>
  <c r="B9" i="5"/>
  <c r="C9" i="5" s="1"/>
  <c r="AJ8" i="5"/>
  <c r="AK8" i="5" s="1"/>
  <c r="F8" i="5"/>
  <c r="B8" i="5"/>
  <c r="C8" i="5" s="1"/>
  <c r="G74" i="5" l="1"/>
  <c r="G78" i="5"/>
  <c r="G28" i="5"/>
  <c r="W9" i="5"/>
  <c r="Z9" i="5"/>
  <c r="V9" i="5"/>
  <c r="X9" i="5"/>
  <c r="Y9" i="5"/>
  <c r="U9" i="5"/>
  <c r="T9" i="5"/>
  <c r="V13" i="5"/>
  <c r="Z13" i="5"/>
  <c r="W13" i="5"/>
  <c r="X13" i="5"/>
  <c r="U13" i="5"/>
  <c r="Y13" i="5"/>
  <c r="T13" i="5"/>
  <c r="V17" i="5"/>
  <c r="Z17" i="5"/>
  <c r="W17" i="5"/>
  <c r="X17" i="5"/>
  <c r="U17" i="5"/>
  <c r="Y17" i="5"/>
  <c r="T17" i="5"/>
  <c r="X22" i="5"/>
  <c r="U22" i="5"/>
  <c r="Y22" i="5"/>
  <c r="V22" i="5"/>
  <c r="Z22" i="5"/>
  <c r="W22" i="5"/>
  <c r="T22" i="5"/>
  <c r="X26" i="5"/>
  <c r="U26" i="5"/>
  <c r="Y26" i="5"/>
  <c r="V26" i="5"/>
  <c r="Z26" i="5"/>
  <c r="W26" i="5"/>
  <c r="T26" i="5"/>
  <c r="X30" i="5"/>
  <c r="U30" i="5"/>
  <c r="Y30" i="5"/>
  <c r="V30" i="5"/>
  <c r="Z30" i="5"/>
  <c r="W30" i="5"/>
  <c r="T30" i="5"/>
  <c r="X34" i="5"/>
  <c r="U34" i="5"/>
  <c r="Y34" i="5"/>
  <c r="V34" i="5"/>
  <c r="Z34" i="5"/>
  <c r="W34" i="5"/>
  <c r="T34" i="5"/>
  <c r="X38" i="5"/>
  <c r="U38" i="5"/>
  <c r="Y38" i="5"/>
  <c r="V38" i="5"/>
  <c r="Z38" i="5"/>
  <c r="W38" i="5"/>
  <c r="T38" i="5"/>
  <c r="X42" i="5"/>
  <c r="U42" i="5"/>
  <c r="Y42" i="5"/>
  <c r="V42" i="5"/>
  <c r="Z42" i="5"/>
  <c r="W42" i="5"/>
  <c r="T42" i="5"/>
  <c r="X46" i="5"/>
  <c r="U46" i="5"/>
  <c r="Y46" i="5"/>
  <c r="V46" i="5"/>
  <c r="Z46" i="5"/>
  <c r="W46" i="5"/>
  <c r="T46" i="5"/>
  <c r="X50" i="5"/>
  <c r="U50" i="5"/>
  <c r="Y50" i="5"/>
  <c r="V50" i="5"/>
  <c r="Z50" i="5"/>
  <c r="W50" i="5"/>
  <c r="T50" i="5"/>
  <c r="V55" i="5"/>
  <c r="Z55" i="5"/>
  <c r="W55" i="5"/>
  <c r="X55" i="5"/>
  <c r="U55" i="5"/>
  <c r="Y55" i="5"/>
  <c r="T55" i="5"/>
  <c r="V59" i="5"/>
  <c r="Z59" i="5"/>
  <c r="W59" i="5"/>
  <c r="X59" i="5"/>
  <c r="U59" i="5"/>
  <c r="Y59" i="5"/>
  <c r="T59" i="5"/>
  <c r="V63" i="5"/>
  <c r="Z63" i="5"/>
  <c r="W63" i="5"/>
  <c r="X63" i="5"/>
  <c r="U63" i="5"/>
  <c r="Y63" i="5"/>
  <c r="T63" i="5"/>
  <c r="X67" i="5"/>
  <c r="U67" i="5"/>
  <c r="Y67" i="5"/>
  <c r="V67" i="5"/>
  <c r="Z67" i="5"/>
  <c r="W67" i="5"/>
  <c r="T67" i="5"/>
  <c r="X71" i="5"/>
  <c r="U71" i="5"/>
  <c r="Y71" i="5"/>
  <c r="T71" i="5"/>
  <c r="V71" i="5"/>
  <c r="Z71" i="5"/>
  <c r="W71" i="5"/>
  <c r="X75" i="5"/>
  <c r="U75" i="5"/>
  <c r="Y75" i="5"/>
  <c r="W75" i="5"/>
  <c r="V75" i="5"/>
  <c r="Z75" i="5"/>
  <c r="T75" i="5"/>
  <c r="X79" i="5"/>
  <c r="T79" i="5"/>
  <c r="U79" i="5"/>
  <c r="Y79" i="5"/>
  <c r="V79" i="5"/>
  <c r="Z79" i="5"/>
  <c r="W79" i="5"/>
  <c r="V80" i="5"/>
  <c r="Z80" i="5"/>
  <c r="T80" i="5"/>
  <c r="W80" i="5"/>
  <c r="Y80" i="5"/>
  <c r="X80" i="5"/>
  <c r="U80" i="5"/>
  <c r="X81" i="5"/>
  <c r="W81" i="5"/>
  <c r="U81" i="5"/>
  <c r="Y81" i="5"/>
  <c r="T81" i="5"/>
  <c r="V81" i="5"/>
  <c r="Z81" i="5"/>
  <c r="X85" i="5"/>
  <c r="U85" i="5"/>
  <c r="Y85" i="5"/>
  <c r="T85" i="5"/>
  <c r="V85" i="5"/>
  <c r="Z85" i="5"/>
  <c r="W85" i="5"/>
  <c r="X89" i="5"/>
  <c r="W89" i="5"/>
  <c r="U89" i="5"/>
  <c r="Y89" i="5"/>
  <c r="T89" i="5"/>
  <c r="V89" i="5"/>
  <c r="Z89" i="5"/>
  <c r="X93" i="5"/>
  <c r="U93" i="5"/>
  <c r="Y93" i="5"/>
  <c r="T93" i="5"/>
  <c r="W93" i="5"/>
  <c r="V93" i="5"/>
  <c r="Z93" i="5"/>
  <c r="X97" i="5"/>
  <c r="W97" i="5"/>
  <c r="U97" i="5"/>
  <c r="Y97" i="5"/>
  <c r="T97" i="5"/>
  <c r="V97" i="5"/>
  <c r="Z97" i="5"/>
  <c r="X101" i="5"/>
  <c r="U101" i="5"/>
  <c r="Y101" i="5"/>
  <c r="T101" i="5"/>
  <c r="W101" i="5"/>
  <c r="V101" i="5"/>
  <c r="Z101" i="5"/>
  <c r="X105" i="5"/>
  <c r="W105" i="5"/>
  <c r="U105" i="5"/>
  <c r="Y105" i="5"/>
  <c r="T105" i="5"/>
  <c r="V105" i="5"/>
  <c r="Z105" i="5"/>
  <c r="V8" i="5"/>
  <c r="Z8" i="5"/>
  <c r="U8" i="5"/>
  <c r="W8" i="5"/>
  <c r="X8" i="5"/>
  <c r="T8" i="5"/>
  <c r="Y8" i="5"/>
  <c r="X12" i="5"/>
  <c r="U12" i="5"/>
  <c r="Y12" i="5"/>
  <c r="V12" i="5"/>
  <c r="Z12" i="5"/>
  <c r="W12" i="5"/>
  <c r="T12" i="5"/>
  <c r="X16" i="5"/>
  <c r="U16" i="5"/>
  <c r="Y16" i="5"/>
  <c r="V16" i="5"/>
  <c r="Z16" i="5"/>
  <c r="W16" i="5"/>
  <c r="T16" i="5"/>
  <c r="V21" i="5"/>
  <c r="Z21" i="5"/>
  <c r="W21" i="5"/>
  <c r="X21" i="5"/>
  <c r="U21" i="5"/>
  <c r="Y21" i="5"/>
  <c r="T21" i="5"/>
  <c r="V25" i="5"/>
  <c r="Z25" i="5"/>
  <c r="W25" i="5"/>
  <c r="X25" i="5"/>
  <c r="U25" i="5"/>
  <c r="Y25" i="5"/>
  <c r="T25" i="5"/>
  <c r="V29" i="5"/>
  <c r="Z29" i="5"/>
  <c r="W29" i="5"/>
  <c r="X29" i="5"/>
  <c r="U29" i="5"/>
  <c r="Y29" i="5"/>
  <c r="T29" i="5"/>
  <c r="V33" i="5"/>
  <c r="Z33" i="5"/>
  <c r="W33" i="5"/>
  <c r="X33" i="5"/>
  <c r="U33" i="5"/>
  <c r="Y33" i="5"/>
  <c r="T33" i="5"/>
  <c r="V37" i="5"/>
  <c r="Z37" i="5"/>
  <c r="W37" i="5"/>
  <c r="X37" i="5"/>
  <c r="U37" i="5"/>
  <c r="Y37" i="5"/>
  <c r="T37" i="5"/>
  <c r="V41" i="5"/>
  <c r="Z41" i="5"/>
  <c r="W41" i="5"/>
  <c r="X41" i="5"/>
  <c r="U41" i="5"/>
  <c r="Y41" i="5"/>
  <c r="T41" i="5"/>
  <c r="V45" i="5"/>
  <c r="Z45" i="5"/>
  <c r="W45" i="5"/>
  <c r="X45" i="5"/>
  <c r="U45" i="5"/>
  <c r="Y45" i="5"/>
  <c r="T45" i="5"/>
  <c r="V49" i="5"/>
  <c r="Z49" i="5"/>
  <c r="W49" i="5"/>
  <c r="X49" i="5"/>
  <c r="U49" i="5"/>
  <c r="Y49" i="5"/>
  <c r="T49" i="5"/>
  <c r="X54" i="5"/>
  <c r="U54" i="5"/>
  <c r="Y54" i="5"/>
  <c r="V54" i="5"/>
  <c r="Z54" i="5"/>
  <c r="W54" i="5"/>
  <c r="T54" i="5"/>
  <c r="X58" i="5"/>
  <c r="U58" i="5"/>
  <c r="Y58" i="5"/>
  <c r="V58" i="5"/>
  <c r="Z58" i="5"/>
  <c r="W58" i="5"/>
  <c r="T58" i="5"/>
  <c r="X62" i="5"/>
  <c r="U62" i="5"/>
  <c r="Y62" i="5"/>
  <c r="V62" i="5"/>
  <c r="Z62" i="5"/>
  <c r="W62" i="5"/>
  <c r="T62" i="5"/>
  <c r="X66" i="5"/>
  <c r="V66" i="5"/>
  <c r="Z66" i="5"/>
  <c r="U66" i="5"/>
  <c r="Y66" i="5"/>
  <c r="W66" i="5"/>
  <c r="T66" i="5"/>
  <c r="G69" i="5"/>
  <c r="V70" i="5"/>
  <c r="Z70" i="5"/>
  <c r="Y70" i="5"/>
  <c r="W70" i="5"/>
  <c r="U70" i="5"/>
  <c r="X70" i="5"/>
  <c r="T70" i="5"/>
  <c r="V74" i="5"/>
  <c r="Z74" i="5"/>
  <c r="W74" i="5"/>
  <c r="X74" i="5"/>
  <c r="T74" i="5"/>
  <c r="Y74" i="5"/>
  <c r="U74" i="5"/>
  <c r="V78" i="5"/>
  <c r="Z78" i="5"/>
  <c r="Y78" i="5"/>
  <c r="W78" i="5"/>
  <c r="X78" i="5"/>
  <c r="T78" i="5"/>
  <c r="U78" i="5"/>
  <c r="V84" i="5"/>
  <c r="Z84" i="5"/>
  <c r="T84" i="5"/>
  <c r="U84" i="5"/>
  <c r="W84" i="5"/>
  <c r="X84" i="5"/>
  <c r="Y84" i="5"/>
  <c r="V88" i="5"/>
  <c r="Z88" i="5"/>
  <c r="T88" i="5"/>
  <c r="W88" i="5"/>
  <c r="Y88" i="5"/>
  <c r="X88" i="5"/>
  <c r="U88" i="5"/>
  <c r="V92" i="5"/>
  <c r="Z92" i="5"/>
  <c r="T92" i="5"/>
  <c r="U92" i="5"/>
  <c r="W92" i="5"/>
  <c r="X92" i="5"/>
  <c r="Y92" i="5"/>
  <c r="V96" i="5"/>
  <c r="Z96" i="5"/>
  <c r="T96" i="5"/>
  <c r="W96" i="5"/>
  <c r="U96" i="5"/>
  <c r="X96" i="5"/>
  <c r="Y96" i="5"/>
  <c r="V100" i="5"/>
  <c r="Z100" i="5"/>
  <c r="T100" i="5"/>
  <c r="U100" i="5"/>
  <c r="W100" i="5"/>
  <c r="X100" i="5"/>
  <c r="Y100" i="5"/>
  <c r="V104" i="5"/>
  <c r="Z104" i="5"/>
  <c r="T104" i="5"/>
  <c r="W104" i="5"/>
  <c r="U104" i="5"/>
  <c r="X104" i="5"/>
  <c r="Y104" i="5"/>
  <c r="V11" i="5"/>
  <c r="Z11" i="5"/>
  <c r="W11" i="5"/>
  <c r="X11" i="5"/>
  <c r="U11" i="5"/>
  <c r="Y11" i="5"/>
  <c r="T11" i="5"/>
  <c r="V15" i="5"/>
  <c r="Z15" i="5"/>
  <c r="W15" i="5"/>
  <c r="X15" i="5"/>
  <c r="U15" i="5"/>
  <c r="Y15" i="5"/>
  <c r="T15" i="5"/>
  <c r="V19" i="5"/>
  <c r="Z19" i="5"/>
  <c r="W19" i="5"/>
  <c r="X19" i="5"/>
  <c r="U19" i="5"/>
  <c r="Y19" i="5"/>
  <c r="T19" i="5"/>
  <c r="X20" i="5"/>
  <c r="U20" i="5"/>
  <c r="Y20" i="5"/>
  <c r="V20" i="5"/>
  <c r="Z20" i="5"/>
  <c r="W20" i="5"/>
  <c r="T20" i="5"/>
  <c r="X24" i="5"/>
  <c r="U24" i="5"/>
  <c r="Y24" i="5"/>
  <c r="V24" i="5"/>
  <c r="Z24" i="5"/>
  <c r="W24" i="5"/>
  <c r="T24" i="5"/>
  <c r="X28" i="5"/>
  <c r="U28" i="5"/>
  <c r="Y28" i="5"/>
  <c r="V28" i="5"/>
  <c r="Z28" i="5"/>
  <c r="W28" i="5"/>
  <c r="T28" i="5"/>
  <c r="X32" i="5"/>
  <c r="U32" i="5"/>
  <c r="Y32" i="5"/>
  <c r="V32" i="5"/>
  <c r="Z32" i="5"/>
  <c r="W32" i="5"/>
  <c r="T32" i="5"/>
  <c r="X36" i="5"/>
  <c r="U36" i="5"/>
  <c r="Y36" i="5"/>
  <c r="V36" i="5"/>
  <c r="Z36" i="5"/>
  <c r="W36" i="5"/>
  <c r="T36" i="5"/>
  <c r="X40" i="5"/>
  <c r="U40" i="5"/>
  <c r="Y40" i="5"/>
  <c r="V40" i="5"/>
  <c r="Z40" i="5"/>
  <c r="W40" i="5"/>
  <c r="T40" i="5"/>
  <c r="X44" i="5"/>
  <c r="U44" i="5"/>
  <c r="Y44" i="5"/>
  <c r="V44" i="5"/>
  <c r="Z44" i="5"/>
  <c r="W44" i="5"/>
  <c r="T44" i="5"/>
  <c r="X48" i="5"/>
  <c r="U48" i="5"/>
  <c r="Y48" i="5"/>
  <c r="V48" i="5"/>
  <c r="Z48" i="5"/>
  <c r="W48" i="5"/>
  <c r="T48" i="5"/>
  <c r="V53" i="5"/>
  <c r="Z53" i="5"/>
  <c r="W53" i="5"/>
  <c r="X53" i="5"/>
  <c r="U53" i="5"/>
  <c r="Y53" i="5"/>
  <c r="T53" i="5"/>
  <c r="V57" i="5"/>
  <c r="Z57" i="5"/>
  <c r="W57" i="5"/>
  <c r="X57" i="5"/>
  <c r="U57" i="5"/>
  <c r="Y57" i="5"/>
  <c r="T57" i="5"/>
  <c r="V61" i="5"/>
  <c r="Z61" i="5"/>
  <c r="W61" i="5"/>
  <c r="X61" i="5"/>
  <c r="U61" i="5"/>
  <c r="Y61" i="5"/>
  <c r="T61" i="5"/>
  <c r="V65" i="5"/>
  <c r="Z65" i="5"/>
  <c r="X65" i="5"/>
  <c r="Y65" i="5"/>
  <c r="T65" i="5"/>
  <c r="U65" i="5"/>
  <c r="W65" i="5"/>
  <c r="X69" i="5"/>
  <c r="U69" i="5"/>
  <c r="Y69" i="5"/>
  <c r="T69" i="5"/>
  <c r="V69" i="5"/>
  <c r="Z69" i="5"/>
  <c r="W69" i="5"/>
  <c r="X73" i="5"/>
  <c r="W73" i="5"/>
  <c r="U73" i="5"/>
  <c r="Y73" i="5"/>
  <c r="T73" i="5"/>
  <c r="V73" i="5"/>
  <c r="Z73" i="5"/>
  <c r="X77" i="5"/>
  <c r="U77" i="5"/>
  <c r="Y77" i="5"/>
  <c r="T77" i="5"/>
  <c r="W77" i="5"/>
  <c r="V77" i="5"/>
  <c r="Z77" i="5"/>
  <c r="X83" i="5"/>
  <c r="U83" i="5"/>
  <c r="Y83" i="5"/>
  <c r="W83" i="5"/>
  <c r="V83" i="5"/>
  <c r="Z83" i="5"/>
  <c r="T83" i="5"/>
  <c r="X87" i="5"/>
  <c r="U87" i="5"/>
  <c r="Y87" i="5"/>
  <c r="T87" i="5"/>
  <c r="V87" i="5"/>
  <c r="Z87" i="5"/>
  <c r="W87" i="5"/>
  <c r="X91" i="5"/>
  <c r="T91" i="5"/>
  <c r="U91" i="5"/>
  <c r="Y91" i="5"/>
  <c r="W91" i="5"/>
  <c r="V91" i="5"/>
  <c r="Z91" i="5"/>
  <c r="X95" i="5"/>
  <c r="U95" i="5"/>
  <c r="Y95" i="5"/>
  <c r="V95" i="5"/>
  <c r="Z95" i="5"/>
  <c r="W95" i="5"/>
  <c r="T95" i="5"/>
  <c r="X99" i="5"/>
  <c r="U99" i="5"/>
  <c r="Y99" i="5"/>
  <c r="T99" i="5"/>
  <c r="V99" i="5"/>
  <c r="Z99" i="5"/>
  <c r="W99" i="5"/>
  <c r="X103" i="5"/>
  <c r="U103" i="5"/>
  <c r="Y103" i="5"/>
  <c r="V103" i="5"/>
  <c r="Z103" i="5"/>
  <c r="T103" i="5"/>
  <c r="W103" i="5"/>
  <c r="X107" i="5"/>
  <c r="T107" i="5"/>
  <c r="U107" i="5"/>
  <c r="Y107" i="5"/>
  <c r="V107" i="5"/>
  <c r="Z107" i="5"/>
  <c r="W107" i="5"/>
  <c r="X10" i="5"/>
  <c r="U10" i="5"/>
  <c r="Y10" i="5"/>
  <c r="V10" i="5"/>
  <c r="Z10" i="5"/>
  <c r="W10" i="5"/>
  <c r="T10" i="5"/>
  <c r="X14" i="5"/>
  <c r="U14" i="5"/>
  <c r="Y14" i="5"/>
  <c r="V14" i="5"/>
  <c r="Z14" i="5"/>
  <c r="W14" i="5"/>
  <c r="T14" i="5"/>
  <c r="X18" i="5"/>
  <c r="U18" i="5"/>
  <c r="Y18" i="5"/>
  <c r="V18" i="5"/>
  <c r="Z18" i="5"/>
  <c r="W18" i="5"/>
  <c r="T18" i="5"/>
  <c r="V23" i="5"/>
  <c r="Z23" i="5"/>
  <c r="W23" i="5"/>
  <c r="X23" i="5"/>
  <c r="U23" i="5"/>
  <c r="Y23" i="5"/>
  <c r="T23" i="5"/>
  <c r="V27" i="5"/>
  <c r="Z27" i="5"/>
  <c r="W27" i="5"/>
  <c r="X27" i="5"/>
  <c r="U27" i="5"/>
  <c r="Y27" i="5"/>
  <c r="T27" i="5"/>
  <c r="V31" i="5"/>
  <c r="Z31" i="5"/>
  <c r="W31" i="5"/>
  <c r="X31" i="5"/>
  <c r="U31" i="5"/>
  <c r="Y31" i="5"/>
  <c r="T31" i="5"/>
  <c r="V35" i="5"/>
  <c r="Z35" i="5"/>
  <c r="W35" i="5"/>
  <c r="X35" i="5"/>
  <c r="U35" i="5"/>
  <c r="Y35" i="5"/>
  <c r="T35" i="5"/>
  <c r="V39" i="5"/>
  <c r="Z39" i="5"/>
  <c r="W39" i="5"/>
  <c r="X39" i="5"/>
  <c r="U39" i="5"/>
  <c r="Y39" i="5"/>
  <c r="T39" i="5"/>
  <c r="V43" i="5"/>
  <c r="Z43" i="5"/>
  <c r="W43" i="5"/>
  <c r="X43" i="5"/>
  <c r="U43" i="5"/>
  <c r="Y43" i="5"/>
  <c r="T43" i="5"/>
  <c r="G46" i="5"/>
  <c r="V47" i="5"/>
  <c r="Z47" i="5"/>
  <c r="W47" i="5"/>
  <c r="X47" i="5"/>
  <c r="U47" i="5"/>
  <c r="Y47" i="5"/>
  <c r="T47" i="5"/>
  <c r="V51" i="5"/>
  <c r="Z51" i="5"/>
  <c r="W51" i="5"/>
  <c r="X51" i="5"/>
  <c r="U51" i="5"/>
  <c r="Y51" i="5"/>
  <c r="T51" i="5"/>
  <c r="X52" i="5"/>
  <c r="U52" i="5"/>
  <c r="Y52" i="5"/>
  <c r="V52" i="5"/>
  <c r="Z52" i="5"/>
  <c r="W52" i="5"/>
  <c r="T52" i="5"/>
  <c r="G55" i="5"/>
  <c r="X56" i="5"/>
  <c r="U56" i="5"/>
  <c r="Y56" i="5"/>
  <c r="V56" i="5"/>
  <c r="Z56" i="5"/>
  <c r="W56" i="5"/>
  <c r="T56" i="5"/>
  <c r="X60" i="5"/>
  <c r="U60" i="5"/>
  <c r="Y60" i="5"/>
  <c r="V60" i="5"/>
  <c r="Z60" i="5"/>
  <c r="W60" i="5"/>
  <c r="T60" i="5"/>
  <c r="X64" i="5"/>
  <c r="U64" i="5"/>
  <c r="V64" i="5"/>
  <c r="Z64" i="5"/>
  <c r="W64" i="5"/>
  <c r="T64" i="5"/>
  <c r="Y64" i="5"/>
  <c r="V68" i="5"/>
  <c r="Z68" i="5"/>
  <c r="T68" i="5"/>
  <c r="U68" i="5"/>
  <c r="Y68" i="5"/>
  <c r="W68" i="5"/>
  <c r="X68" i="5"/>
  <c r="G71" i="5"/>
  <c r="V72" i="5"/>
  <c r="Z72" i="5"/>
  <c r="T72" i="5"/>
  <c r="W72" i="5"/>
  <c r="Y72" i="5"/>
  <c r="X72" i="5"/>
  <c r="U72" i="5"/>
  <c r="G75" i="5"/>
  <c r="V76" i="5"/>
  <c r="Z76" i="5"/>
  <c r="T76" i="5"/>
  <c r="U76" i="5"/>
  <c r="W76" i="5"/>
  <c r="X76" i="5"/>
  <c r="Y76" i="5"/>
  <c r="V82" i="5"/>
  <c r="Z82" i="5"/>
  <c r="W82" i="5"/>
  <c r="X82" i="5"/>
  <c r="T82" i="5"/>
  <c r="Y82" i="5"/>
  <c r="U82" i="5"/>
  <c r="V86" i="5"/>
  <c r="Z86" i="5"/>
  <c r="Y86" i="5"/>
  <c r="W86" i="5"/>
  <c r="U86" i="5"/>
  <c r="X86" i="5"/>
  <c r="T86" i="5"/>
  <c r="V90" i="5"/>
  <c r="Z90" i="5"/>
  <c r="W90" i="5"/>
  <c r="X90" i="5"/>
  <c r="T90" i="5"/>
  <c r="Y90" i="5"/>
  <c r="U90" i="5"/>
  <c r="V94" i="5"/>
  <c r="Z94" i="5"/>
  <c r="Y94" i="5"/>
  <c r="W94" i="5"/>
  <c r="X94" i="5"/>
  <c r="T94" i="5"/>
  <c r="U94" i="5"/>
  <c r="V98" i="5"/>
  <c r="Z98" i="5"/>
  <c r="W98" i="5"/>
  <c r="Y98" i="5"/>
  <c r="X98" i="5"/>
  <c r="T98" i="5"/>
  <c r="U98" i="5"/>
  <c r="V102" i="5"/>
  <c r="Z102" i="5"/>
  <c r="Y102" i="5"/>
  <c r="W102" i="5"/>
  <c r="X102" i="5"/>
  <c r="T102" i="5"/>
  <c r="U102" i="5"/>
  <c r="V106" i="5"/>
  <c r="Z106" i="5"/>
  <c r="W106" i="5"/>
  <c r="Y106" i="5"/>
  <c r="X106" i="5"/>
  <c r="T106" i="5"/>
  <c r="U106" i="5"/>
  <c r="E12" i="5"/>
  <c r="D12" i="5"/>
  <c r="G12" i="5" s="1"/>
  <c r="E66" i="5"/>
  <c r="G59" i="5"/>
  <c r="D34" i="5"/>
  <c r="E34" i="5"/>
  <c r="D32" i="5"/>
  <c r="E32" i="5"/>
  <c r="N21" i="5"/>
  <c r="P21" i="5"/>
  <c r="Q21" i="5"/>
  <c r="O21" i="5"/>
  <c r="M21" i="5"/>
  <c r="R21" i="5"/>
  <c r="S21" i="5"/>
  <c r="N25" i="5"/>
  <c r="P25" i="5"/>
  <c r="Q25" i="5"/>
  <c r="S25" i="5"/>
  <c r="M25" i="5"/>
  <c r="R25" i="5"/>
  <c r="O25" i="5"/>
  <c r="N29" i="5"/>
  <c r="P29" i="5"/>
  <c r="Q29" i="5"/>
  <c r="O29" i="5"/>
  <c r="M29" i="5"/>
  <c r="R29" i="5"/>
  <c r="S29" i="5"/>
  <c r="N32" i="5"/>
  <c r="Q32" i="5"/>
  <c r="R32" i="5"/>
  <c r="P32" i="5"/>
  <c r="O32" i="5"/>
  <c r="S32" i="5"/>
  <c r="M32" i="5"/>
  <c r="N43" i="5"/>
  <c r="R43" i="5"/>
  <c r="O43" i="5"/>
  <c r="S43" i="5"/>
  <c r="Q43" i="5"/>
  <c r="M43" i="5"/>
  <c r="P43" i="5"/>
  <c r="N61" i="5"/>
  <c r="P61" i="5"/>
  <c r="Q61" i="5"/>
  <c r="O61" i="5"/>
  <c r="M61" i="5"/>
  <c r="R61" i="5"/>
  <c r="S61" i="5"/>
  <c r="N72" i="5"/>
  <c r="Q72" i="5"/>
  <c r="R72" i="5"/>
  <c r="P72" i="5"/>
  <c r="S72" i="5"/>
  <c r="M72" i="5"/>
  <c r="O72" i="5"/>
  <c r="N86" i="5"/>
  <c r="Q86" i="5"/>
  <c r="S86" i="5"/>
  <c r="P86" i="5"/>
  <c r="R86" i="5"/>
  <c r="O86" i="5"/>
  <c r="M86" i="5"/>
  <c r="N94" i="5"/>
  <c r="Q94" i="5"/>
  <c r="O94" i="5"/>
  <c r="R94" i="5"/>
  <c r="S94" i="5"/>
  <c r="M94" i="5"/>
  <c r="P94" i="5"/>
  <c r="N96" i="5"/>
  <c r="O96" i="5"/>
  <c r="S96" i="5"/>
  <c r="Q96" i="5"/>
  <c r="P96" i="5"/>
  <c r="M96" i="5"/>
  <c r="R96" i="5"/>
  <c r="N10" i="5"/>
  <c r="O10" i="5"/>
  <c r="S10" i="5"/>
  <c r="P10" i="5"/>
  <c r="Q10" i="5"/>
  <c r="R10" i="5"/>
  <c r="M10" i="5"/>
  <c r="N13" i="5"/>
  <c r="P13" i="5"/>
  <c r="Q13" i="5"/>
  <c r="R13" i="5"/>
  <c r="M13" i="5"/>
  <c r="S13" i="5"/>
  <c r="O13" i="5"/>
  <c r="N14" i="5"/>
  <c r="O14" i="5"/>
  <c r="S14" i="5"/>
  <c r="P14" i="5"/>
  <c r="Q14" i="5"/>
  <c r="R14" i="5"/>
  <c r="M14" i="5"/>
  <c r="N15" i="5"/>
  <c r="R15" i="5"/>
  <c r="O15" i="5"/>
  <c r="S15" i="5"/>
  <c r="P15" i="5"/>
  <c r="M15" i="5"/>
  <c r="Q15" i="5"/>
  <c r="E16" i="5"/>
  <c r="N19" i="5"/>
  <c r="R19" i="5"/>
  <c r="O19" i="5"/>
  <c r="S19" i="5"/>
  <c r="P19" i="5"/>
  <c r="M19" i="5"/>
  <c r="Q19" i="5"/>
  <c r="N20" i="5"/>
  <c r="Q20" i="5"/>
  <c r="R20" i="5"/>
  <c r="O20" i="5"/>
  <c r="S20" i="5"/>
  <c r="M20" i="5"/>
  <c r="P20" i="5"/>
  <c r="N24" i="5"/>
  <c r="Q24" i="5"/>
  <c r="R24" i="5"/>
  <c r="P24" i="5"/>
  <c r="O24" i="5"/>
  <c r="S24" i="5"/>
  <c r="M24" i="5"/>
  <c r="N28" i="5"/>
  <c r="Q28" i="5"/>
  <c r="R28" i="5"/>
  <c r="S28" i="5"/>
  <c r="O28" i="5"/>
  <c r="M28" i="5"/>
  <c r="P28" i="5"/>
  <c r="N38" i="5"/>
  <c r="O38" i="5"/>
  <c r="S38" i="5"/>
  <c r="P38" i="5"/>
  <c r="R38" i="5"/>
  <c r="Q38" i="5"/>
  <c r="M38" i="5"/>
  <c r="N42" i="5"/>
  <c r="O42" i="5"/>
  <c r="S42" i="5"/>
  <c r="P42" i="5"/>
  <c r="Q42" i="5"/>
  <c r="R42" i="5"/>
  <c r="M42" i="5"/>
  <c r="N47" i="5"/>
  <c r="R47" i="5"/>
  <c r="O47" i="5"/>
  <c r="S47" i="5"/>
  <c r="M47" i="5"/>
  <c r="P47" i="5"/>
  <c r="Q47" i="5"/>
  <c r="E48" i="5"/>
  <c r="N49" i="5"/>
  <c r="P49" i="5"/>
  <c r="Q49" i="5"/>
  <c r="S49" i="5"/>
  <c r="M49" i="5"/>
  <c r="O49" i="5"/>
  <c r="R49" i="5"/>
  <c r="E50" i="5"/>
  <c r="N51" i="5"/>
  <c r="R51" i="5"/>
  <c r="O51" i="5"/>
  <c r="S51" i="5"/>
  <c r="Q51" i="5"/>
  <c r="M51" i="5"/>
  <c r="P51" i="5"/>
  <c r="N52" i="5"/>
  <c r="Q52" i="5"/>
  <c r="R52" i="5"/>
  <c r="S52" i="5"/>
  <c r="O52" i="5"/>
  <c r="M52" i="5"/>
  <c r="P52" i="5"/>
  <c r="N56" i="5"/>
  <c r="Q56" i="5"/>
  <c r="R56" i="5"/>
  <c r="P56" i="5"/>
  <c r="O56" i="5"/>
  <c r="S56" i="5"/>
  <c r="M56" i="5"/>
  <c r="N60" i="5"/>
  <c r="Q60" i="5"/>
  <c r="R60" i="5"/>
  <c r="P60" i="5"/>
  <c r="S60" i="5"/>
  <c r="O60" i="5"/>
  <c r="M60" i="5"/>
  <c r="E64" i="5"/>
  <c r="N65" i="5"/>
  <c r="P65" i="5"/>
  <c r="Q65" i="5"/>
  <c r="S65" i="5"/>
  <c r="O65" i="5"/>
  <c r="R65" i="5"/>
  <c r="M65" i="5"/>
  <c r="N66" i="5"/>
  <c r="O66" i="5"/>
  <c r="S66" i="5"/>
  <c r="P66" i="5"/>
  <c r="Q66" i="5"/>
  <c r="R66" i="5"/>
  <c r="M66" i="5"/>
  <c r="N71" i="5"/>
  <c r="R71" i="5"/>
  <c r="O71" i="5"/>
  <c r="S71" i="5"/>
  <c r="M71" i="5"/>
  <c r="P71" i="5"/>
  <c r="Q71" i="5"/>
  <c r="N75" i="5"/>
  <c r="R75" i="5"/>
  <c r="O75" i="5"/>
  <c r="S75" i="5"/>
  <c r="Q75" i="5"/>
  <c r="M75" i="5"/>
  <c r="P75" i="5"/>
  <c r="N79" i="5"/>
  <c r="R79" i="5"/>
  <c r="O79" i="5"/>
  <c r="S79" i="5"/>
  <c r="M79" i="5"/>
  <c r="Q79" i="5"/>
  <c r="P79" i="5"/>
  <c r="N80" i="5"/>
  <c r="Q80" i="5"/>
  <c r="R80" i="5"/>
  <c r="P80" i="5"/>
  <c r="O80" i="5"/>
  <c r="S80" i="5"/>
  <c r="M80" i="5"/>
  <c r="N81" i="5"/>
  <c r="Q81" i="5"/>
  <c r="R81" i="5"/>
  <c r="S81" i="5"/>
  <c r="M81" i="5"/>
  <c r="O81" i="5"/>
  <c r="P81" i="5"/>
  <c r="N85" i="5"/>
  <c r="R85" i="5"/>
  <c r="M85" i="5"/>
  <c r="O85" i="5"/>
  <c r="S85" i="5"/>
  <c r="P85" i="5"/>
  <c r="Q85" i="5"/>
  <c r="N89" i="5"/>
  <c r="R89" i="5"/>
  <c r="O89" i="5"/>
  <c r="S89" i="5"/>
  <c r="M89" i="5"/>
  <c r="P89" i="5"/>
  <c r="Q89" i="5"/>
  <c r="N93" i="5"/>
  <c r="R93" i="5"/>
  <c r="O93" i="5"/>
  <c r="S93" i="5"/>
  <c r="P93" i="5"/>
  <c r="M93" i="5"/>
  <c r="Q93" i="5"/>
  <c r="N100" i="5"/>
  <c r="O100" i="5"/>
  <c r="S100" i="5"/>
  <c r="Q100" i="5"/>
  <c r="P100" i="5"/>
  <c r="M100" i="5"/>
  <c r="R100" i="5"/>
  <c r="N104" i="5"/>
  <c r="O104" i="5"/>
  <c r="S104" i="5"/>
  <c r="P104" i="5"/>
  <c r="M104" i="5"/>
  <c r="Q104" i="5"/>
  <c r="R104" i="5"/>
  <c r="N11" i="5"/>
  <c r="R11" i="5"/>
  <c r="O11" i="5"/>
  <c r="S11" i="5"/>
  <c r="P11" i="5"/>
  <c r="Q11" i="5"/>
  <c r="M11" i="5"/>
  <c r="N34" i="5"/>
  <c r="O34" i="5"/>
  <c r="S34" i="5"/>
  <c r="P34" i="5"/>
  <c r="Q34" i="5"/>
  <c r="R34" i="5"/>
  <c r="M34" i="5"/>
  <c r="N39" i="5"/>
  <c r="R39" i="5"/>
  <c r="O39" i="5"/>
  <c r="S39" i="5"/>
  <c r="M39" i="5"/>
  <c r="P39" i="5"/>
  <c r="Q39" i="5"/>
  <c r="N53" i="5"/>
  <c r="P53" i="5"/>
  <c r="Q53" i="5"/>
  <c r="O53" i="5"/>
  <c r="S53" i="5"/>
  <c r="R53" i="5"/>
  <c r="M53" i="5"/>
  <c r="N82" i="5"/>
  <c r="Q82" i="5"/>
  <c r="R82" i="5"/>
  <c r="O82" i="5"/>
  <c r="S82" i="5"/>
  <c r="P82" i="5"/>
  <c r="M82" i="5"/>
  <c r="N95" i="5"/>
  <c r="P95" i="5"/>
  <c r="M95" i="5"/>
  <c r="Q95" i="5"/>
  <c r="R95" i="5"/>
  <c r="S95" i="5"/>
  <c r="O95" i="5"/>
  <c r="N97" i="5"/>
  <c r="R97" i="5"/>
  <c r="M97" i="5"/>
  <c r="O97" i="5"/>
  <c r="S97" i="5"/>
  <c r="P97" i="5"/>
  <c r="Q97" i="5"/>
  <c r="N101" i="5"/>
  <c r="R101" i="5"/>
  <c r="O101" i="5"/>
  <c r="S101" i="5"/>
  <c r="P101" i="5"/>
  <c r="M101" i="5"/>
  <c r="Q101" i="5"/>
  <c r="N105" i="5"/>
  <c r="R105" i="5"/>
  <c r="P105" i="5"/>
  <c r="M105" i="5"/>
  <c r="O105" i="5"/>
  <c r="S105" i="5"/>
  <c r="Q105" i="5"/>
  <c r="N9" i="5"/>
  <c r="P9" i="5"/>
  <c r="Q9" i="5"/>
  <c r="R9" i="5"/>
  <c r="O9" i="5"/>
  <c r="S9" i="5"/>
  <c r="M9" i="5"/>
  <c r="N12" i="5"/>
  <c r="Q12" i="5"/>
  <c r="R12" i="5"/>
  <c r="O12" i="5"/>
  <c r="S12" i="5"/>
  <c r="P12" i="5"/>
  <c r="M12" i="5"/>
  <c r="N16" i="5"/>
  <c r="Q16" i="5"/>
  <c r="R16" i="5"/>
  <c r="O16" i="5"/>
  <c r="S16" i="5"/>
  <c r="M16" i="5"/>
  <c r="P16" i="5"/>
  <c r="N17" i="5"/>
  <c r="P17" i="5"/>
  <c r="Q17" i="5"/>
  <c r="R17" i="5"/>
  <c r="S17" i="5"/>
  <c r="M17" i="5"/>
  <c r="O17" i="5"/>
  <c r="N18" i="5"/>
  <c r="O18" i="5"/>
  <c r="S18" i="5"/>
  <c r="P18" i="5"/>
  <c r="Q18" i="5"/>
  <c r="R18" i="5"/>
  <c r="M18" i="5"/>
  <c r="G22" i="5"/>
  <c r="N23" i="5"/>
  <c r="R23" i="5"/>
  <c r="O23" i="5"/>
  <c r="S23" i="5"/>
  <c r="M23" i="5"/>
  <c r="P23" i="5"/>
  <c r="Q23" i="5"/>
  <c r="N27" i="5"/>
  <c r="R27" i="5"/>
  <c r="O27" i="5"/>
  <c r="S27" i="5"/>
  <c r="Q27" i="5"/>
  <c r="M27" i="5"/>
  <c r="P27" i="5"/>
  <c r="N37" i="5"/>
  <c r="P37" i="5"/>
  <c r="Q37" i="5"/>
  <c r="O37" i="5"/>
  <c r="R37" i="5"/>
  <c r="M37" i="5"/>
  <c r="S37" i="5"/>
  <c r="N41" i="5"/>
  <c r="P41" i="5"/>
  <c r="Q41" i="5"/>
  <c r="S41" i="5"/>
  <c r="M41" i="5"/>
  <c r="R41" i="5"/>
  <c r="O41" i="5"/>
  <c r="G44" i="5"/>
  <c r="N45" i="5"/>
  <c r="P45" i="5"/>
  <c r="Q45" i="5"/>
  <c r="O45" i="5"/>
  <c r="R45" i="5"/>
  <c r="S45" i="5"/>
  <c r="M45" i="5"/>
  <c r="N46" i="5"/>
  <c r="O46" i="5"/>
  <c r="S46" i="5"/>
  <c r="P46" i="5"/>
  <c r="R46" i="5"/>
  <c r="Q46" i="5"/>
  <c r="M46" i="5"/>
  <c r="N48" i="5"/>
  <c r="Q48" i="5"/>
  <c r="R48" i="5"/>
  <c r="P48" i="5"/>
  <c r="O48" i="5"/>
  <c r="S48" i="5"/>
  <c r="M48" i="5"/>
  <c r="N50" i="5"/>
  <c r="O50" i="5"/>
  <c r="S50" i="5"/>
  <c r="P50" i="5"/>
  <c r="Q50" i="5"/>
  <c r="R50" i="5"/>
  <c r="M50" i="5"/>
  <c r="G54" i="5"/>
  <c r="N55" i="5"/>
  <c r="R55" i="5"/>
  <c r="O55" i="5"/>
  <c r="S55" i="5"/>
  <c r="M55" i="5"/>
  <c r="P55" i="5"/>
  <c r="Q55" i="5"/>
  <c r="G58" i="5"/>
  <c r="N59" i="5"/>
  <c r="R59" i="5"/>
  <c r="O59" i="5"/>
  <c r="S59" i="5"/>
  <c r="Q59" i="5"/>
  <c r="M59" i="5"/>
  <c r="P59" i="5"/>
  <c r="G62" i="5"/>
  <c r="N63" i="5"/>
  <c r="R63" i="5"/>
  <c r="O63" i="5"/>
  <c r="S63" i="5"/>
  <c r="M63" i="5"/>
  <c r="P63" i="5"/>
  <c r="Q63" i="5"/>
  <c r="N64" i="5"/>
  <c r="Q64" i="5"/>
  <c r="R64" i="5"/>
  <c r="P64" i="5"/>
  <c r="S64" i="5"/>
  <c r="M64" i="5"/>
  <c r="O64" i="5"/>
  <c r="N69" i="5"/>
  <c r="P69" i="5"/>
  <c r="Q69" i="5"/>
  <c r="O69" i="5"/>
  <c r="S69" i="5"/>
  <c r="M69" i="5"/>
  <c r="R69" i="5"/>
  <c r="N70" i="5"/>
  <c r="O70" i="5"/>
  <c r="S70" i="5"/>
  <c r="P70" i="5"/>
  <c r="R70" i="5"/>
  <c r="Q70" i="5"/>
  <c r="M70" i="5"/>
  <c r="G73" i="5"/>
  <c r="N74" i="5"/>
  <c r="O74" i="5"/>
  <c r="S74" i="5"/>
  <c r="P74" i="5"/>
  <c r="R74" i="5"/>
  <c r="Q74" i="5"/>
  <c r="M74" i="5"/>
  <c r="G77" i="5"/>
  <c r="N78" i="5"/>
  <c r="O78" i="5"/>
  <c r="S78" i="5"/>
  <c r="P78" i="5"/>
  <c r="R78" i="5"/>
  <c r="Q78" i="5"/>
  <c r="M78" i="5"/>
  <c r="N84" i="5"/>
  <c r="O84" i="5"/>
  <c r="S84" i="5"/>
  <c r="R84" i="5"/>
  <c r="P84" i="5"/>
  <c r="M84" i="5"/>
  <c r="Q84" i="5"/>
  <c r="N88" i="5"/>
  <c r="O88" i="5"/>
  <c r="S88" i="5"/>
  <c r="Q88" i="5"/>
  <c r="R88" i="5"/>
  <c r="P88" i="5"/>
  <c r="M88" i="5"/>
  <c r="N92" i="5"/>
  <c r="O92" i="5"/>
  <c r="S92" i="5"/>
  <c r="P92" i="5"/>
  <c r="M92" i="5"/>
  <c r="Q92" i="5"/>
  <c r="R92" i="5"/>
  <c r="N99" i="5"/>
  <c r="P99" i="5"/>
  <c r="M99" i="5"/>
  <c r="Q99" i="5"/>
  <c r="R99" i="5"/>
  <c r="O99" i="5"/>
  <c r="S99" i="5"/>
  <c r="N103" i="5"/>
  <c r="P103" i="5"/>
  <c r="M103" i="5"/>
  <c r="Q103" i="5"/>
  <c r="R103" i="5"/>
  <c r="S103" i="5"/>
  <c r="O103" i="5"/>
  <c r="N107" i="5"/>
  <c r="P107" i="5"/>
  <c r="M107" i="5"/>
  <c r="Q107" i="5"/>
  <c r="R107" i="5"/>
  <c r="O107" i="5"/>
  <c r="S107" i="5"/>
  <c r="N30" i="5"/>
  <c r="O30" i="5"/>
  <c r="S30" i="5"/>
  <c r="P30" i="5"/>
  <c r="R30" i="5"/>
  <c r="Q30" i="5"/>
  <c r="M30" i="5"/>
  <c r="N57" i="5"/>
  <c r="P57" i="5"/>
  <c r="Q57" i="5"/>
  <c r="S57" i="5"/>
  <c r="R57" i="5"/>
  <c r="O57" i="5"/>
  <c r="M57" i="5"/>
  <c r="N67" i="5"/>
  <c r="R67" i="5"/>
  <c r="O67" i="5"/>
  <c r="S67" i="5"/>
  <c r="Q67" i="5"/>
  <c r="M67" i="5"/>
  <c r="P67" i="5"/>
  <c r="N76" i="5"/>
  <c r="Q76" i="5"/>
  <c r="R76" i="5"/>
  <c r="S76" i="5"/>
  <c r="O76" i="5"/>
  <c r="M76" i="5"/>
  <c r="P76" i="5"/>
  <c r="N90" i="5"/>
  <c r="Q90" i="5"/>
  <c r="R90" i="5"/>
  <c r="O90" i="5"/>
  <c r="S90" i="5"/>
  <c r="P90" i="5"/>
  <c r="M90" i="5"/>
  <c r="N8" i="5"/>
  <c r="S8" i="5"/>
  <c r="O8" i="5"/>
  <c r="Q8" i="5"/>
  <c r="R8" i="5"/>
  <c r="M8" i="5"/>
  <c r="P8" i="5"/>
  <c r="N22" i="5"/>
  <c r="O22" i="5"/>
  <c r="S22" i="5"/>
  <c r="P22" i="5"/>
  <c r="R22" i="5"/>
  <c r="Q22" i="5"/>
  <c r="M22" i="5"/>
  <c r="N26" i="5"/>
  <c r="O26" i="5"/>
  <c r="S26" i="5"/>
  <c r="P26" i="5"/>
  <c r="Q26" i="5"/>
  <c r="R26" i="5"/>
  <c r="M26" i="5"/>
  <c r="G30" i="5"/>
  <c r="N31" i="5"/>
  <c r="R31" i="5"/>
  <c r="O31" i="5"/>
  <c r="S31" i="5"/>
  <c r="M31" i="5"/>
  <c r="P31" i="5"/>
  <c r="Q31" i="5"/>
  <c r="N33" i="5"/>
  <c r="P33" i="5"/>
  <c r="Q33" i="5"/>
  <c r="S33" i="5"/>
  <c r="O33" i="5"/>
  <c r="M33" i="5"/>
  <c r="R33" i="5"/>
  <c r="N35" i="5"/>
  <c r="R35" i="5"/>
  <c r="O35" i="5"/>
  <c r="S35" i="5"/>
  <c r="Q35" i="5"/>
  <c r="M35" i="5"/>
  <c r="P35" i="5"/>
  <c r="N36" i="5"/>
  <c r="Q36" i="5"/>
  <c r="R36" i="5"/>
  <c r="S36" i="5"/>
  <c r="O36" i="5"/>
  <c r="M36" i="5"/>
  <c r="P36" i="5"/>
  <c r="N40" i="5"/>
  <c r="Q40" i="5"/>
  <c r="R40" i="5"/>
  <c r="P40" i="5"/>
  <c r="S40" i="5"/>
  <c r="M40" i="5"/>
  <c r="O40" i="5"/>
  <c r="N44" i="5"/>
  <c r="Q44" i="5"/>
  <c r="R44" i="5"/>
  <c r="O44" i="5"/>
  <c r="M44" i="5"/>
  <c r="S44" i="5"/>
  <c r="P44" i="5"/>
  <c r="N54" i="5"/>
  <c r="O54" i="5"/>
  <c r="S54" i="5"/>
  <c r="P54" i="5"/>
  <c r="R54" i="5"/>
  <c r="Q54" i="5"/>
  <c r="M54" i="5"/>
  <c r="G57" i="5"/>
  <c r="N58" i="5"/>
  <c r="O58" i="5"/>
  <c r="S58" i="5"/>
  <c r="P58" i="5"/>
  <c r="Q58" i="5"/>
  <c r="R58" i="5"/>
  <c r="M58" i="5"/>
  <c r="G61" i="5"/>
  <c r="N62" i="5"/>
  <c r="O62" i="5"/>
  <c r="S62" i="5"/>
  <c r="P62" i="5"/>
  <c r="R62" i="5"/>
  <c r="Q62" i="5"/>
  <c r="M62" i="5"/>
  <c r="N68" i="5"/>
  <c r="Q68" i="5"/>
  <c r="R68" i="5"/>
  <c r="O68" i="5"/>
  <c r="M68" i="5"/>
  <c r="P68" i="5"/>
  <c r="S68" i="5"/>
  <c r="G72" i="5"/>
  <c r="N73" i="5"/>
  <c r="P73" i="5"/>
  <c r="Q73" i="5"/>
  <c r="S73" i="5"/>
  <c r="O73" i="5"/>
  <c r="M73" i="5"/>
  <c r="R73" i="5"/>
  <c r="G76" i="5"/>
  <c r="N77" i="5"/>
  <c r="P77" i="5"/>
  <c r="Q77" i="5"/>
  <c r="O77" i="5"/>
  <c r="R77" i="5"/>
  <c r="S77" i="5"/>
  <c r="M77" i="5"/>
  <c r="N83" i="5"/>
  <c r="P83" i="5"/>
  <c r="M83" i="5"/>
  <c r="R83" i="5"/>
  <c r="O83" i="5"/>
  <c r="Q83" i="5"/>
  <c r="S83" i="5"/>
  <c r="N87" i="5"/>
  <c r="P87" i="5"/>
  <c r="M87" i="5"/>
  <c r="Q87" i="5"/>
  <c r="R87" i="5"/>
  <c r="O87" i="5"/>
  <c r="S87" i="5"/>
  <c r="N91" i="5"/>
  <c r="P91" i="5"/>
  <c r="M91" i="5"/>
  <c r="R91" i="5"/>
  <c r="Q91" i="5"/>
  <c r="O91" i="5"/>
  <c r="S91" i="5"/>
  <c r="N98" i="5"/>
  <c r="Q98" i="5"/>
  <c r="O98" i="5"/>
  <c r="R98" i="5"/>
  <c r="S98" i="5"/>
  <c r="P98" i="5"/>
  <c r="M98" i="5"/>
  <c r="N102" i="5"/>
  <c r="Q102" i="5"/>
  <c r="S102" i="5"/>
  <c r="R102" i="5"/>
  <c r="O102" i="5"/>
  <c r="P102" i="5"/>
  <c r="M102" i="5"/>
  <c r="N106" i="5"/>
  <c r="Q106" i="5"/>
  <c r="S106" i="5"/>
  <c r="R106" i="5"/>
  <c r="O106" i="5"/>
  <c r="M106" i="5"/>
  <c r="P106" i="5"/>
  <c r="D42" i="5"/>
  <c r="G42" i="5" s="1"/>
  <c r="E42" i="5"/>
  <c r="D26" i="5"/>
  <c r="G26" i="5" s="1"/>
  <c r="E26" i="5"/>
  <c r="D40" i="5"/>
  <c r="G40" i="5" s="1"/>
  <c r="E40" i="5"/>
  <c r="E13" i="5"/>
  <c r="D13" i="5"/>
  <c r="G13" i="5" s="1"/>
  <c r="D24" i="5"/>
  <c r="G24" i="5" s="1"/>
  <c r="E24" i="5"/>
  <c r="E11" i="5"/>
  <c r="D11" i="5"/>
  <c r="G11" i="5" s="1"/>
  <c r="AK9" i="5"/>
  <c r="AK10" i="5" s="1"/>
  <c r="AK11" i="5" s="1"/>
  <c r="AK12" i="5" s="1"/>
  <c r="AK13" i="5" s="1"/>
  <c r="AK14" i="5" s="1"/>
  <c r="AK15" i="5" s="1"/>
  <c r="AK16" i="5" s="1"/>
  <c r="AK17" i="5" s="1"/>
  <c r="AK18" i="5" s="1"/>
  <c r="AK19" i="5" s="1"/>
  <c r="AK20" i="5" s="1"/>
  <c r="AK21" i="5" s="1"/>
  <c r="AK22" i="5" s="1"/>
  <c r="AK23" i="5" s="1"/>
  <c r="AK24" i="5" s="1"/>
  <c r="AK25" i="5" s="1"/>
  <c r="AK26" i="5" s="1"/>
  <c r="AK27" i="5" s="1"/>
  <c r="AK28" i="5" s="1"/>
  <c r="AK29" i="5" s="1"/>
  <c r="AK30" i="5" s="1"/>
  <c r="AK31" i="5" s="1"/>
  <c r="AK32" i="5" s="1"/>
  <c r="AK33" i="5" s="1"/>
  <c r="AK34" i="5" s="1"/>
  <c r="AK35" i="5" s="1"/>
  <c r="AK36" i="5" s="1"/>
  <c r="AK37" i="5" s="1"/>
  <c r="AK38" i="5" s="1"/>
  <c r="AK39" i="5" s="1"/>
  <c r="AK40" i="5" s="1"/>
  <c r="AK41" i="5" s="1"/>
  <c r="AK42" i="5" s="1"/>
  <c r="AK43" i="5" s="1"/>
  <c r="AK44" i="5" s="1"/>
  <c r="AK45" i="5" s="1"/>
  <c r="AK46" i="5" s="1"/>
  <c r="AK47" i="5" s="1"/>
  <c r="AK48" i="5" s="1"/>
  <c r="AK49" i="5" s="1"/>
  <c r="AK50" i="5" s="1"/>
  <c r="AK51" i="5" s="1"/>
  <c r="AK52" i="5" s="1"/>
  <c r="AK53" i="5" s="1"/>
  <c r="AK54" i="5" s="1"/>
  <c r="AK55" i="5" s="1"/>
  <c r="AK56" i="5" s="1"/>
  <c r="AK57" i="5" s="1"/>
  <c r="AK58" i="5" s="1"/>
  <c r="AK59" i="5" s="1"/>
  <c r="AK60" i="5" s="1"/>
  <c r="AK61" i="5" s="1"/>
  <c r="AK62" i="5" s="1"/>
  <c r="AK63" i="5" s="1"/>
  <c r="AK64" i="5" s="1"/>
  <c r="AK65" i="5" s="1"/>
  <c r="AK66" i="5" s="1"/>
  <c r="AK67" i="5" s="1"/>
  <c r="AK68" i="5" s="1"/>
  <c r="AK69" i="5" s="1"/>
  <c r="AK70" i="5" s="1"/>
  <c r="AK71" i="5" s="1"/>
  <c r="AK72" i="5" s="1"/>
  <c r="AK73" i="5" s="1"/>
  <c r="AK74" i="5" s="1"/>
  <c r="AK75" i="5" s="1"/>
  <c r="AK76" i="5" s="1"/>
  <c r="AK77" i="5" s="1"/>
  <c r="AK78" i="5" s="1"/>
  <c r="AK79" i="5" s="1"/>
  <c r="AK80" i="5" s="1"/>
  <c r="AK81" i="5" s="1"/>
  <c r="AK82" i="5" s="1"/>
  <c r="AK83" i="5" s="1"/>
  <c r="AK84" i="5" s="1"/>
  <c r="AK85" i="5" s="1"/>
  <c r="AK86" i="5" s="1"/>
  <c r="AK87" i="5" s="1"/>
  <c r="AK88" i="5" s="1"/>
  <c r="AK89" i="5" s="1"/>
  <c r="AK90" i="5" s="1"/>
  <c r="AK91" i="5" s="1"/>
  <c r="AK92" i="5" s="1"/>
  <c r="AK93" i="5" s="1"/>
  <c r="AK94" i="5" s="1"/>
  <c r="AK95" i="5" s="1"/>
  <c r="AK96" i="5" s="1"/>
  <c r="AK97" i="5" s="1"/>
  <c r="AK98" i="5" s="1"/>
  <c r="AK99" i="5" s="1"/>
  <c r="AK100" i="5" s="1"/>
  <c r="AK101" i="5" s="1"/>
  <c r="AK102" i="5" s="1"/>
  <c r="AK103" i="5" s="1"/>
  <c r="AK104" i="5" s="1"/>
  <c r="AK105" i="5" s="1"/>
  <c r="AK106" i="5" s="1"/>
  <c r="AK107" i="5" s="1"/>
  <c r="G63" i="5"/>
  <c r="G79" i="5"/>
  <c r="G65" i="5"/>
  <c r="G67" i="5"/>
  <c r="E56" i="5"/>
  <c r="H56" i="5" s="1"/>
  <c r="I56" i="5" s="1"/>
  <c r="E58" i="5"/>
  <c r="H58" i="5" s="1"/>
  <c r="I58" i="5" s="1"/>
  <c r="E72" i="5"/>
  <c r="E74" i="5"/>
  <c r="H74" i="5" s="1"/>
  <c r="I74" i="5" s="1"/>
  <c r="G15" i="5"/>
  <c r="G20" i="5"/>
  <c r="G32" i="5"/>
  <c r="G34" i="5"/>
  <c r="H34" i="5" s="1"/>
  <c r="I34" i="5" s="1"/>
  <c r="G36" i="5"/>
  <c r="G48" i="5"/>
  <c r="H48" i="5" s="1"/>
  <c r="I48" i="5" s="1"/>
  <c r="G50" i="5"/>
  <c r="G52" i="5"/>
  <c r="G64" i="5"/>
  <c r="G66" i="5"/>
  <c r="H66" i="5" s="1"/>
  <c r="I66" i="5" s="1"/>
  <c r="G68" i="5"/>
  <c r="E10" i="5"/>
  <c r="D10" i="5"/>
  <c r="G10" i="5" s="1"/>
  <c r="D21" i="5"/>
  <c r="G21" i="5" s="1"/>
  <c r="E21" i="5"/>
  <c r="E9" i="5"/>
  <c r="D9" i="5"/>
  <c r="G9" i="5" s="1"/>
  <c r="D8" i="5"/>
  <c r="G8" i="5" s="1"/>
  <c r="E8" i="5"/>
  <c r="D19" i="5"/>
  <c r="G19" i="5" s="1"/>
  <c r="E19" i="5"/>
  <c r="D31" i="5"/>
  <c r="G31" i="5" s="1"/>
  <c r="E31" i="5"/>
  <c r="D39" i="5"/>
  <c r="G39" i="5" s="1"/>
  <c r="E39" i="5"/>
  <c r="D49" i="5"/>
  <c r="G49" i="5" s="1"/>
  <c r="E49" i="5"/>
  <c r="D23" i="5"/>
  <c r="G23" i="5" s="1"/>
  <c r="E23" i="5"/>
  <c r="E18" i="5"/>
  <c r="H18" i="5" s="1"/>
  <c r="I18" i="5" s="1"/>
  <c r="D33" i="5"/>
  <c r="G33" i="5" s="1"/>
  <c r="E33" i="5"/>
  <c r="E36" i="5"/>
  <c r="H36" i="5" s="1"/>
  <c r="I36" i="5" s="1"/>
  <c r="D41" i="5"/>
  <c r="G41" i="5" s="1"/>
  <c r="H41" i="5" s="1"/>
  <c r="I41" i="5" s="1"/>
  <c r="E41" i="5"/>
  <c r="E44" i="5"/>
  <c r="H44" i="5" s="1"/>
  <c r="I44" i="5" s="1"/>
  <c r="E60" i="5"/>
  <c r="H60" i="5" s="1"/>
  <c r="I60" i="5" s="1"/>
  <c r="E76" i="5"/>
  <c r="H76" i="5" s="1"/>
  <c r="I76" i="5" s="1"/>
  <c r="E83" i="5"/>
  <c r="D83" i="5"/>
  <c r="G83" i="5" s="1"/>
  <c r="E95" i="5"/>
  <c r="D95" i="5"/>
  <c r="G95" i="5" s="1"/>
  <c r="D14" i="5"/>
  <c r="G14" i="5" s="1"/>
  <c r="H14" i="5" s="1"/>
  <c r="I14" i="5" s="1"/>
  <c r="E15" i="5"/>
  <c r="H15" i="5" s="1"/>
  <c r="I15" i="5" s="1"/>
  <c r="E20" i="5"/>
  <c r="E22" i="5"/>
  <c r="D27" i="5"/>
  <c r="G27" i="5" s="1"/>
  <c r="E27" i="5"/>
  <c r="E30" i="5"/>
  <c r="H30" i="5" s="1"/>
  <c r="I30" i="5" s="1"/>
  <c r="D35" i="5"/>
  <c r="G35" i="5" s="1"/>
  <c r="H35" i="5" s="1"/>
  <c r="I35" i="5" s="1"/>
  <c r="E35" i="5"/>
  <c r="E38" i="5"/>
  <c r="H38" i="5" s="1"/>
  <c r="I38" i="5" s="1"/>
  <c r="D43" i="5"/>
  <c r="G43" i="5" s="1"/>
  <c r="E43" i="5"/>
  <c r="E46" i="5"/>
  <c r="H46" i="5" s="1"/>
  <c r="I46" i="5" s="1"/>
  <c r="D51" i="5"/>
  <c r="G51" i="5" s="1"/>
  <c r="E51" i="5"/>
  <c r="E54" i="5"/>
  <c r="E62" i="5"/>
  <c r="H64" i="5"/>
  <c r="I64" i="5" s="1"/>
  <c r="E70" i="5"/>
  <c r="H70" i="5" s="1"/>
  <c r="I70" i="5" s="1"/>
  <c r="H72" i="5"/>
  <c r="I72" i="5" s="1"/>
  <c r="E78" i="5"/>
  <c r="H78" i="5" s="1"/>
  <c r="I78" i="5" s="1"/>
  <c r="E104" i="5"/>
  <c r="D104" i="5"/>
  <c r="G104" i="5" s="1"/>
  <c r="D17" i="5"/>
  <c r="G17" i="5" s="1"/>
  <c r="E17" i="5"/>
  <c r="D47" i="5"/>
  <c r="G47" i="5" s="1"/>
  <c r="E47" i="5"/>
  <c r="D25" i="5"/>
  <c r="G25" i="5" s="1"/>
  <c r="E25" i="5"/>
  <c r="E28" i="5"/>
  <c r="H28" i="5" s="1"/>
  <c r="I28" i="5" s="1"/>
  <c r="E52" i="5"/>
  <c r="E68" i="5"/>
  <c r="E84" i="5"/>
  <c r="D84" i="5"/>
  <c r="G84" i="5" s="1"/>
  <c r="E91" i="5"/>
  <c r="D91" i="5"/>
  <c r="G91" i="5" s="1"/>
  <c r="G16" i="5"/>
  <c r="H26" i="5"/>
  <c r="I26" i="5" s="1"/>
  <c r="D29" i="5"/>
  <c r="G29" i="5" s="1"/>
  <c r="E29" i="5"/>
  <c r="D37" i="5"/>
  <c r="G37" i="5" s="1"/>
  <c r="E37" i="5"/>
  <c r="D45" i="5"/>
  <c r="G45" i="5" s="1"/>
  <c r="E45" i="5"/>
  <c r="H50" i="5"/>
  <c r="I50" i="5" s="1"/>
  <c r="D53" i="5"/>
  <c r="G53" i="5" s="1"/>
  <c r="E53" i="5"/>
  <c r="E80" i="5"/>
  <c r="D80" i="5"/>
  <c r="G80" i="5" s="1"/>
  <c r="E87" i="5"/>
  <c r="D87" i="5"/>
  <c r="G87" i="5" s="1"/>
  <c r="E88" i="5"/>
  <c r="D88" i="5"/>
  <c r="G88" i="5" s="1"/>
  <c r="E92" i="5"/>
  <c r="D92" i="5"/>
  <c r="G92" i="5" s="1"/>
  <c r="E96" i="5"/>
  <c r="D96" i="5"/>
  <c r="G96" i="5" s="1"/>
  <c r="E105" i="5"/>
  <c r="D105" i="5"/>
  <c r="G105" i="5" s="1"/>
  <c r="E81" i="5"/>
  <c r="D81" i="5"/>
  <c r="G81" i="5" s="1"/>
  <c r="E85" i="5"/>
  <c r="D85" i="5"/>
  <c r="G85" i="5" s="1"/>
  <c r="E89" i="5"/>
  <c r="D89" i="5"/>
  <c r="G89" i="5" s="1"/>
  <c r="E93" i="5"/>
  <c r="D93" i="5"/>
  <c r="G93" i="5" s="1"/>
  <c r="E97" i="5"/>
  <c r="D97" i="5"/>
  <c r="G97" i="5" s="1"/>
  <c r="E102" i="5"/>
  <c r="D102" i="5"/>
  <c r="G102" i="5" s="1"/>
  <c r="E55" i="5"/>
  <c r="H55" i="5" s="1"/>
  <c r="I55" i="5" s="1"/>
  <c r="E57" i="5"/>
  <c r="H57" i="5" s="1"/>
  <c r="I57" i="5" s="1"/>
  <c r="E59" i="5"/>
  <c r="H59" i="5" s="1"/>
  <c r="I59" i="5" s="1"/>
  <c r="E61" i="5"/>
  <c r="E63" i="5"/>
  <c r="H63" i="5" s="1"/>
  <c r="I63" i="5" s="1"/>
  <c r="E65" i="5"/>
  <c r="H65" i="5" s="1"/>
  <c r="I65" i="5" s="1"/>
  <c r="E67" i="5"/>
  <c r="E69" i="5"/>
  <c r="H69" i="5" s="1"/>
  <c r="I69" i="5" s="1"/>
  <c r="E71" i="5"/>
  <c r="H71" i="5" s="1"/>
  <c r="I71" i="5" s="1"/>
  <c r="E73" i="5"/>
  <c r="H73" i="5" s="1"/>
  <c r="I73" i="5" s="1"/>
  <c r="E75" i="5"/>
  <c r="H75" i="5" s="1"/>
  <c r="I75" i="5" s="1"/>
  <c r="E77" i="5"/>
  <c r="H77" i="5" s="1"/>
  <c r="I77" i="5" s="1"/>
  <c r="E79" i="5"/>
  <c r="H79" i="5" s="1"/>
  <c r="I79" i="5" s="1"/>
  <c r="E82" i="5"/>
  <c r="D82" i="5"/>
  <c r="G82" i="5" s="1"/>
  <c r="E86" i="5"/>
  <c r="D86" i="5"/>
  <c r="G86" i="5" s="1"/>
  <c r="E90" i="5"/>
  <c r="D90" i="5"/>
  <c r="G90" i="5" s="1"/>
  <c r="E94" i="5"/>
  <c r="D94" i="5"/>
  <c r="G94" i="5" s="1"/>
  <c r="E103" i="5"/>
  <c r="D103" i="5"/>
  <c r="G103" i="5" s="1"/>
  <c r="E101" i="5"/>
  <c r="D101" i="5"/>
  <c r="G101" i="5" s="1"/>
  <c r="D98" i="5"/>
  <c r="G98" i="5" s="1"/>
  <c r="H98" i="5" s="1"/>
  <c r="I98" i="5" s="1"/>
  <c r="D99" i="5"/>
  <c r="G99" i="5" s="1"/>
  <c r="H99" i="5" s="1"/>
  <c r="I99" i="5" s="1"/>
  <c r="D100" i="5"/>
  <c r="G100" i="5" s="1"/>
  <c r="H100" i="5" s="1"/>
  <c r="I100" i="5" s="1"/>
  <c r="D106" i="5"/>
  <c r="G106" i="5" s="1"/>
  <c r="H106" i="5" s="1"/>
  <c r="I106" i="5" s="1"/>
  <c r="D107" i="5"/>
  <c r="G107" i="5" s="1"/>
  <c r="H107" i="5" s="1"/>
  <c r="I107" i="5" s="1"/>
  <c r="A27" i="1"/>
  <c r="A4" i="2"/>
  <c r="H45" i="5" l="1"/>
  <c r="I45" i="5" s="1"/>
  <c r="H12" i="5"/>
  <c r="I12" i="5" s="1"/>
  <c r="H24" i="5"/>
  <c r="I24" i="5" s="1"/>
  <c r="H40" i="5"/>
  <c r="I40" i="5" s="1"/>
  <c r="H42" i="5"/>
  <c r="I42" i="5" s="1"/>
  <c r="H95" i="5"/>
  <c r="I95" i="5" s="1"/>
  <c r="H20" i="5"/>
  <c r="I20" i="5" s="1"/>
  <c r="H22" i="5"/>
  <c r="I22" i="5" s="1"/>
  <c r="H43" i="5"/>
  <c r="I43" i="5" s="1"/>
  <c r="H67" i="5"/>
  <c r="I67" i="5" s="1"/>
  <c r="H17" i="5"/>
  <c r="I17" i="5" s="1"/>
  <c r="H27" i="5"/>
  <c r="I27" i="5" s="1"/>
  <c r="H32" i="5"/>
  <c r="I32" i="5" s="1"/>
  <c r="H61" i="5"/>
  <c r="I61" i="5" s="1"/>
  <c r="H16" i="5"/>
  <c r="I16" i="5" s="1"/>
  <c r="H54" i="5"/>
  <c r="I54" i="5" s="1"/>
  <c r="H25" i="5"/>
  <c r="I25" i="5" s="1"/>
  <c r="H62" i="5"/>
  <c r="I62" i="5" s="1"/>
  <c r="H51" i="5"/>
  <c r="I51" i="5" s="1"/>
  <c r="H102" i="5"/>
  <c r="I102" i="5" s="1"/>
  <c r="H93" i="5"/>
  <c r="I93" i="5" s="1"/>
  <c r="H85" i="5"/>
  <c r="I85" i="5" s="1"/>
  <c r="H105" i="5"/>
  <c r="I105" i="5" s="1"/>
  <c r="H92" i="5"/>
  <c r="I92" i="5" s="1"/>
  <c r="H87" i="5"/>
  <c r="I87" i="5" s="1"/>
  <c r="H68" i="5"/>
  <c r="I68" i="5" s="1"/>
  <c r="H11" i="5"/>
  <c r="I11" i="5" s="1"/>
  <c r="H13" i="5"/>
  <c r="I13" i="5" s="1"/>
  <c r="H29" i="5"/>
  <c r="I29" i="5" s="1"/>
  <c r="H49" i="5"/>
  <c r="I49" i="5" s="1"/>
  <c r="H97" i="5"/>
  <c r="I97" i="5" s="1"/>
  <c r="H89" i="5"/>
  <c r="I89" i="5" s="1"/>
  <c r="H81" i="5"/>
  <c r="I81" i="5" s="1"/>
  <c r="H96" i="5"/>
  <c r="I96" i="5" s="1"/>
  <c r="H88" i="5"/>
  <c r="I88" i="5" s="1"/>
  <c r="H80" i="5"/>
  <c r="I80" i="5" s="1"/>
  <c r="H8" i="5"/>
  <c r="I8" i="5" s="1"/>
  <c r="J8" i="5" s="1"/>
  <c r="K8" i="5" s="1"/>
  <c r="H21" i="5"/>
  <c r="I21" i="5" s="1"/>
  <c r="H52" i="5"/>
  <c r="I52" i="5" s="1"/>
  <c r="H83" i="5"/>
  <c r="I83" i="5" s="1"/>
  <c r="H101" i="5"/>
  <c r="I101" i="5" s="1"/>
  <c r="H94" i="5"/>
  <c r="I94" i="5" s="1"/>
  <c r="H86" i="5"/>
  <c r="I86" i="5" s="1"/>
  <c r="H53" i="5"/>
  <c r="I53" i="5" s="1"/>
  <c r="H91" i="5"/>
  <c r="I91" i="5" s="1"/>
  <c r="H33" i="5"/>
  <c r="I33" i="5" s="1"/>
  <c r="H31" i="5"/>
  <c r="I31" i="5" s="1"/>
  <c r="H103" i="5"/>
  <c r="I103" i="5" s="1"/>
  <c r="H90" i="5"/>
  <c r="I90" i="5" s="1"/>
  <c r="H82" i="5"/>
  <c r="I82" i="5" s="1"/>
  <c r="H37" i="5"/>
  <c r="I37" i="5" s="1"/>
  <c r="H84" i="5"/>
  <c r="I84" i="5" s="1"/>
  <c r="H47" i="5"/>
  <c r="I47" i="5" s="1"/>
  <c r="H104" i="5"/>
  <c r="I104" i="5" s="1"/>
  <c r="H23" i="5"/>
  <c r="I23" i="5" s="1"/>
  <c r="H39" i="5"/>
  <c r="I39" i="5" s="1"/>
  <c r="H19" i="5"/>
  <c r="I19" i="5" s="1"/>
  <c r="H9" i="5"/>
  <c r="I9" i="5" s="1"/>
  <c r="H10" i="5"/>
  <c r="I10" i="5" s="1"/>
  <c r="J9" i="5" l="1"/>
  <c r="J10" i="5" s="1"/>
  <c r="K9" i="5" l="1"/>
  <c r="K10" i="5"/>
  <c r="J11" i="5"/>
  <c r="J12" i="5" l="1"/>
  <c r="K11" i="5"/>
  <c r="J13" i="5" l="1"/>
  <c r="K12" i="5"/>
  <c r="J14" i="5" l="1"/>
  <c r="K13" i="5"/>
  <c r="J15" i="5" l="1"/>
  <c r="K14" i="5"/>
  <c r="J16" i="5" l="1"/>
  <c r="K15" i="5"/>
  <c r="J17" i="5" l="1"/>
  <c r="K16" i="5"/>
  <c r="J18" i="5" l="1"/>
  <c r="K17" i="5"/>
  <c r="J19" i="5" l="1"/>
  <c r="K18" i="5"/>
  <c r="K19" i="5" l="1"/>
  <c r="J20" i="5"/>
  <c r="J21" i="5" l="1"/>
  <c r="K20" i="5"/>
  <c r="J22" i="5" l="1"/>
  <c r="K21" i="5"/>
  <c r="J23" i="5" l="1"/>
  <c r="K22" i="5"/>
  <c r="K23" i="5" l="1"/>
  <c r="J24" i="5"/>
  <c r="J25" i="5" l="1"/>
  <c r="K24" i="5"/>
  <c r="J26" i="5" l="1"/>
  <c r="K25" i="5"/>
  <c r="J27" i="5" l="1"/>
  <c r="K26" i="5"/>
  <c r="K27" i="5" l="1"/>
  <c r="J28" i="5"/>
  <c r="J29" i="5" l="1"/>
  <c r="K28" i="5"/>
  <c r="K29" i="5" l="1"/>
  <c r="J30" i="5"/>
  <c r="J31" i="5" l="1"/>
  <c r="K30" i="5"/>
  <c r="K31" i="5" l="1"/>
  <c r="J32" i="5"/>
  <c r="J33" i="5" l="1"/>
  <c r="K32" i="5"/>
  <c r="J34" i="5" l="1"/>
  <c r="K33" i="5"/>
  <c r="J35" i="5" l="1"/>
  <c r="K34" i="5"/>
  <c r="K35" i="5" l="1"/>
  <c r="J36" i="5"/>
  <c r="J37" i="5" l="1"/>
  <c r="K36" i="5"/>
  <c r="K37" i="5" l="1"/>
  <c r="J38" i="5"/>
  <c r="J39" i="5" l="1"/>
  <c r="K38" i="5"/>
  <c r="K39" i="5" l="1"/>
  <c r="J40" i="5"/>
  <c r="J41" i="5" l="1"/>
  <c r="K40" i="5"/>
  <c r="J42" i="5" l="1"/>
  <c r="K41" i="5"/>
  <c r="J43" i="5" l="1"/>
  <c r="K42" i="5"/>
  <c r="K43" i="5" l="1"/>
  <c r="J44" i="5"/>
  <c r="J45" i="5" l="1"/>
  <c r="K44" i="5"/>
  <c r="J46" i="5" l="1"/>
  <c r="K45" i="5"/>
  <c r="J47" i="5" l="1"/>
  <c r="K46" i="5"/>
  <c r="K47" i="5" l="1"/>
  <c r="J48" i="5"/>
  <c r="J49" i="5" l="1"/>
  <c r="K48" i="5"/>
  <c r="J50" i="5" l="1"/>
  <c r="K49" i="5"/>
  <c r="J51" i="5" l="1"/>
  <c r="K50" i="5"/>
  <c r="K51" i="5" l="1"/>
  <c r="J52" i="5"/>
  <c r="J53" i="5" l="1"/>
  <c r="K52" i="5"/>
  <c r="J54" i="5" l="1"/>
  <c r="K53" i="5"/>
  <c r="K54" i="5" l="1"/>
  <c r="J55" i="5"/>
  <c r="K55" i="5" l="1"/>
  <c r="J56" i="5"/>
  <c r="K56" i="5" l="1"/>
  <c r="J57" i="5"/>
  <c r="K57" i="5" l="1"/>
  <c r="J58" i="5"/>
  <c r="K58" i="5" l="1"/>
  <c r="J59" i="5"/>
  <c r="K59" i="5" l="1"/>
  <c r="J60" i="5"/>
  <c r="K60" i="5" l="1"/>
  <c r="J61" i="5"/>
  <c r="K61" i="5" l="1"/>
  <c r="J62" i="5"/>
  <c r="K62" i="5" l="1"/>
  <c r="J63" i="5"/>
  <c r="K63" i="5" l="1"/>
  <c r="J64" i="5"/>
  <c r="K64" i="5" l="1"/>
  <c r="J65" i="5"/>
  <c r="K65" i="5" l="1"/>
  <c r="J66" i="5"/>
  <c r="K66" i="5" l="1"/>
  <c r="J67" i="5"/>
  <c r="K67" i="5" l="1"/>
  <c r="J68" i="5"/>
  <c r="K68" i="5" l="1"/>
  <c r="J69" i="5"/>
  <c r="K69" i="5" l="1"/>
  <c r="J70" i="5"/>
  <c r="K70" i="5" l="1"/>
  <c r="J71" i="5"/>
  <c r="K71" i="5" l="1"/>
  <c r="J72" i="5"/>
  <c r="K72" i="5" l="1"/>
  <c r="J73" i="5"/>
  <c r="K73" i="5" l="1"/>
  <c r="J74" i="5"/>
  <c r="K74" i="5" l="1"/>
  <c r="J75" i="5"/>
  <c r="K75" i="5" l="1"/>
  <c r="J76" i="5"/>
  <c r="K76" i="5" l="1"/>
  <c r="J77" i="5"/>
  <c r="K77" i="5" l="1"/>
  <c r="J78" i="5"/>
  <c r="K78" i="5" l="1"/>
  <c r="J79" i="5"/>
  <c r="J80" i="5" l="1"/>
  <c r="K79" i="5"/>
  <c r="J81" i="5" l="1"/>
  <c r="K80" i="5"/>
  <c r="J82" i="5" l="1"/>
  <c r="K81" i="5"/>
  <c r="K82" i="5" l="1"/>
  <c r="J83" i="5"/>
  <c r="J84" i="5" l="1"/>
  <c r="K83" i="5"/>
  <c r="J85" i="5" l="1"/>
  <c r="K84" i="5"/>
  <c r="J86" i="5" l="1"/>
  <c r="K85" i="5"/>
  <c r="K86" i="5" l="1"/>
  <c r="J87" i="5"/>
  <c r="J88" i="5" l="1"/>
  <c r="K87" i="5"/>
  <c r="J89" i="5" l="1"/>
  <c r="K88" i="5"/>
  <c r="J90" i="5" l="1"/>
  <c r="K89" i="5"/>
  <c r="K90" i="5" l="1"/>
  <c r="J91" i="5"/>
  <c r="J92" i="5" l="1"/>
  <c r="K91" i="5"/>
  <c r="J93" i="5" l="1"/>
  <c r="K92" i="5"/>
  <c r="J94" i="5" l="1"/>
  <c r="K93" i="5"/>
  <c r="K94" i="5" l="1"/>
  <c r="J95" i="5"/>
  <c r="J96" i="5" l="1"/>
  <c r="K95" i="5"/>
  <c r="J97" i="5" l="1"/>
  <c r="K96" i="5"/>
  <c r="J98" i="5" l="1"/>
  <c r="K97" i="5"/>
  <c r="K98" i="5" l="1"/>
  <c r="J99" i="5"/>
  <c r="J100" i="5" l="1"/>
  <c r="K99" i="5"/>
  <c r="J101" i="5" l="1"/>
  <c r="K100" i="5"/>
  <c r="K101" i="5" l="1"/>
  <c r="J102" i="5"/>
  <c r="K102" i="5" l="1"/>
  <c r="J103" i="5"/>
  <c r="J104" i="5" l="1"/>
  <c r="K103" i="5"/>
  <c r="J105" i="5" l="1"/>
  <c r="K104" i="5"/>
  <c r="J106" i="5" l="1"/>
  <c r="K105" i="5"/>
  <c r="K106" i="5" l="1"/>
  <c r="J107" i="5"/>
  <c r="K107" i="5" s="1"/>
</calcChain>
</file>

<file path=xl/sharedStrings.xml><?xml version="1.0" encoding="utf-8"?>
<sst xmlns="http://schemas.openxmlformats.org/spreadsheetml/2006/main" count="515" uniqueCount="286">
  <si>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</si>
  <si>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</si>
  <si>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</si>
  <si>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</si>
  <si>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</si>
  <si>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</si>
  <si>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</si>
  <si>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</si>
  <si>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</si>
  <si>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</si>
  <si>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</si>
  <si>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</si>
  <si>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</si>
  <si>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</si>
  <si>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</si>
  <si>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</si>
  <si>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</si>
  <si>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</si>
  <si>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</si>
  <si>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</si>
  <si>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</si>
  <si>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</si>
  <si>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</si>
  <si>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</si>
  <si>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</si>
  <si>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</si>
  <si>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</si>
  <si>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</si>
  <si>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</si>
  <si>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</si>
  <si>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</si>
  <si>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</si>
  <si>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</si>
  <si>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</si>
  <si>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</si>
  <si>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</si>
  <si>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</si>
  <si>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</si>
  <si>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</si>
  <si>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</si>
  <si>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</si>
  <si>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</si>
  <si>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</si>
  <si>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</si>
  <si>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</si>
  <si>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</si>
  <si>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</si>
  <si>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</si>
  <si>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</si>
  <si>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Strength(+3)</t>
    <phoneticPr fontId="1" type="noConversion"/>
  </si>
  <si>
    <t>Archer</t>
    <phoneticPr fontId="1" type="noConversion"/>
  </si>
  <si>
    <t>DisplayName</t>
    <phoneticPr fontId="1" type="noConversion"/>
  </si>
  <si>
    <t>Class</t>
    <phoneticPr fontId="1" type="noConversion"/>
  </si>
  <si>
    <t>Portrait</t>
    <phoneticPr fontId="1" type="noConversion"/>
  </si>
  <si>
    <t>HP</t>
    <phoneticPr fontId="1" type="noConversion"/>
  </si>
  <si>
    <t>STR</t>
    <phoneticPr fontId="1" type="noConversion"/>
  </si>
  <si>
    <t>INT</t>
    <phoneticPr fontId="1" type="noConversion"/>
  </si>
  <si>
    <t>AGI</t>
    <phoneticPr fontId="1" type="noConversion"/>
  </si>
  <si>
    <t>STA</t>
    <phoneticPr fontId="1" type="noConversion"/>
  </si>
  <si>
    <t>CRI</t>
    <phoneticPr fontId="1" type="noConversion"/>
  </si>
  <si>
    <t>Extra</t>
    <phoneticPr fontId="1" type="noConversion"/>
  </si>
  <si>
    <t>BASE STAT</t>
    <phoneticPr fontId="1" type="noConversion"/>
  </si>
  <si>
    <t>LEVEL UP STAT</t>
    <phoneticPr fontId="1" type="noConversion"/>
  </si>
  <si>
    <t>SKILLS</t>
    <phoneticPr fontId="1" type="noConversion"/>
  </si>
  <si>
    <t>Warrior</t>
  </si>
  <si>
    <t>Warrior</t>
    <phoneticPr fontId="1" type="noConversion"/>
  </si>
  <si>
    <t>Wizard</t>
    <phoneticPr fontId="1" type="noConversion"/>
  </si>
  <si>
    <t>Healer</t>
    <phoneticPr fontId="1" type="noConversion"/>
  </si>
  <si>
    <t>hector</t>
    <phoneticPr fontId="1" type="noConversion"/>
  </si>
  <si>
    <t>헥터</t>
    <phoneticPr fontId="1" type="noConversion"/>
  </si>
  <si>
    <t>player1_active.png</t>
    <phoneticPr fontId="1" type="noConversion"/>
  </si>
  <si>
    <t>crouch</t>
    <phoneticPr fontId="1" type="noConversion"/>
  </si>
  <si>
    <t>runaway</t>
    <phoneticPr fontId="1" type="noConversion"/>
  </si>
  <si>
    <t>warrior</t>
    <phoneticPr fontId="1" type="noConversion"/>
  </si>
  <si>
    <t>전사</t>
    <phoneticPr fontId="1" type="noConversion"/>
  </si>
  <si>
    <t>player5_active.png</t>
    <phoneticPr fontId="1" type="noConversion"/>
  </si>
  <si>
    <t>slash</t>
    <phoneticPr fontId="1" type="noConversion"/>
  </si>
  <si>
    <t>shieldAttack</t>
    <phoneticPr fontId="1" type="noConversion"/>
  </si>
  <si>
    <t>doubleAttack</t>
    <phoneticPr fontId="1" type="noConversion"/>
  </si>
  <si>
    <t>healer</t>
    <phoneticPr fontId="1" type="noConversion"/>
  </si>
  <si>
    <t>힐러</t>
    <phoneticPr fontId="1" type="noConversion"/>
  </si>
  <si>
    <t>player4_active.png</t>
    <phoneticPr fontId="1" type="noConversion"/>
  </si>
  <si>
    <t>wandAttack</t>
    <phoneticPr fontId="1" type="noConversion"/>
  </si>
  <si>
    <t>antiPower</t>
    <phoneticPr fontId="1" type="noConversion"/>
  </si>
  <si>
    <t>heal</t>
    <phoneticPr fontId="1" type="noConversion"/>
  </si>
  <si>
    <t>miluda</t>
    <phoneticPr fontId="1" type="noConversion"/>
  </si>
  <si>
    <t>궁수</t>
    <phoneticPr fontId="1" type="noConversion"/>
  </si>
  <si>
    <t>player3_active.png</t>
    <phoneticPr fontId="1" type="noConversion"/>
  </si>
  <si>
    <t>criticalAttack</t>
    <phoneticPr fontId="1" type="noConversion"/>
  </si>
  <si>
    <t>arrowOfTracker</t>
    <phoneticPr fontId="1" type="noConversion"/>
  </si>
  <si>
    <t>elid</t>
    <phoneticPr fontId="1" type="noConversion"/>
  </si>
  <si>
    <t>마법사</t>
    <phoneticPr fontId="1" type="noConversion"/>
  </si>
  <si>
    <t>player2_active.png</t>
    <phoneticPr fontId="1" type="noConversion"/>
  </si>
  <si>
    <t>fireBolt</t>
    <phoneticPr fontId="1" type="noConversion"/>
  </si>
  <si>
    <t>fireCape</t>
    <phoneticPr fontId="1" type="noConversion"/>
  </si>
  <si>
    <t>fireRain</t>
    <phoneticPr fontId="1" type="noConversion"/>
  </si>
  <si>
    <t>Characters</t>
    <phoneticPr fontId="1" type="noConversion"/>
  </si>
  <si>
    <t>HP/L</t>
    <phoneticPr fontId="1" type="noConversion"/>
  </si>
  <si>
    <t>STR/L</t>
    <phoneticPr fontId="1" type="noConversion"/>
  </si>
  <si>
    <t>INT/L</t>
    <phoneticPr fontId="1" type="noConversion"/>
  </si>
  <si>
    <t>AGI/L</t>
    <phoneticPr fontId="1" type="noConversion"/>
  </si>
  <si>
    <t>STA/L</t>
    <phoneticPr fontId="1" type="noConversion"/>
  </si>
  <si>
    <t>CRI/L</t>
    <phoneticPr fontId="1" type="noConversion"/>
  </si>
  <si>
    <t>Idle</t>
    <phoneticPr fontId="1" type="noConversion"/>
  </si>
  <si>
    <t>Walk</t>
    <phoneticPr fontId="1" type="noConversion"/>
  </si>
  <si>
    <t>Atk</t>
    <phoneticPr fontId="1" type="noConversion"/>
  </si>
  <si>
    <t>Magic</t>
    <phoneticPr fontId="1" type="noConversion"/>
  </si>
  <si>
    <t>X</t>
    <phoneticPr fontId="1" type="noConversion"/>
  </si>
  <si>
    <t>Y</t>
    <phoneticPr fontId="1" type="noConversion"/>
  </si>
  <si>
    <t>Offset</t>
    <phoneticPr fontId="1" type="noConversion"/>
  </si>
  <si>
    <t>Crouch</t>
    <phoneticPr fontId="1" type="noConversion"/>
  </si>
  <si>
    <t>Animation Length</t>
    <phoneticPr fontId="1" type="noConversion"/>
  </si>
  <si>
    <t>SPD/L</t>
    <phoneticPr fontId="1" type="noConversion"/>
  </si>
  <si>
    <t>SPD</t>
    <phoneticPr fontId="1" type="noConversion"/>
  </si>
  <si>
    <t>Wand</t>
  </si>
  <si>
    <t>soldier</t>
    <phoneticPr fontId="1" type="noConversion"/>
  </si>
  <si>
    <t>skeleton</t>
    <phoneticPr fontId="1" type="noConversion"/>
  </si>
  <si>
    <t>도굴꾼</t>
    <phoneticPr fontId="1" type="noConversion"/>
  </si>
  <si>
    <t>해골기사</t>
    <phoneticPr fontId="1" type="noConversion"/>
  </si>
  <si>
    <t>ghost</t>
    <phoneticPr fontId="1" type="noConversion"/>
  </si>
  <si>
    <t>네크로멘서</t>
    <phoneticPr fontId="1" type="noConversion"/>
  </si>
  <si>
    <t>breath</t>
    <phoneticPr fontId="1" type="noConversion"/>
  </si>
  <si>
    <t>dragon</t>
    <phoneticPr fontId="1" type="noConversion"/>
  </si>
  <si>
    <t>용</t>
    <phoneticPr fontId="1" type="noConversion"/>
  </si>
  <si>
    <t>lucavi</t>
    <phoneticPr fontId="1" type="noConversion"/>
  </si>
  <si>
    <t>스켈레톤</t>
    <phoneticPr fontId="1" type="noConversion"/>
  </si>
  <si>
    <t>doga</t>
    <phoneticPr fontId="1" type="noConversion"/>
  </si>
  <si>
    <t>수도사</t>
    <phoneticPr fontId="1" type="noConversion"/>
  </si>
  <si>
    <t>dknight</t>
    <phoneticPr fontId="1" type="noConversion"/>
  </si>
  <si>
    <t>암흑기사</t>
    <phoneticPr fontId="1" type="noConversion"/>
  </si>
  <si>
    <t>frogknight</t>
    <phoneticPr fontId="1" type="noConversion"/>
  </si>
  <si>
    <t>개굴전사</t>
    <phoneticPr fontId="1" type="noConversion"/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</si>
  <si>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</si>
  <si>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</si>
  <si>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</si>
  <si>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</si>
  <si>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</si>
  <si>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</si>
  <si>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</si>
  <si>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</si>
  <si>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</si>
  <si>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</si>
  <si>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</si>
  <si>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</si>
  <si>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</si>
  <si>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</si>
  <si>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</si>
  <si>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</si>
  <si>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</si>
  <si>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</si>
  <si>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대거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</si>
  <si>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</si>
  <si>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</si>
  <si>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</si>
  <si>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</si>
  <si>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</si>
  <si>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</si>
  <si>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</si>
  <si>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</si>
  <si>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</si>
  <si>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</si>
  <si>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</si>
  <si>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</si>
  <si>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</si>
  <si>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</si>
  <si>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</si>
  <si>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</si>
  <si>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</si>
  <si>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</si>
  <si>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</si>
  <si>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</si>
  <si>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</si>
  <si>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떡갈나무</t>
    <phoneticPr fontId="1" type="noConversion"/>
  </si>
  <si>
    <t>강철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</si>
  <si>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</si>
  <si>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</si>
  <si>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</si>
  <si>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</si>
  <si>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</si>
  <si>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</si>
  <si>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</si>
  <si>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</si>
  <si>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</si>
  <si>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</si>
  <si>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</si>
  <si>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</si>
  <si>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</si>
  <si>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</si>
  <si>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</si>
  <si>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</si>
  <si>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</si>
  <si>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</si>
  <si>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Strength(+1)</t>
    <phoneticPr fontId="1" type="noConversion"/>
  </si>
  <si>
    <t>Strength(+1), Agility(+1)</t>
    <phoneticPr fontId="1" type="noConversion"/>
  </si>
  <si>
    <t>Strength(+2), Agility(+1)</t>
    <phoneticPr fontId="1" type="noConversion"/>
  </si>
  <si>
    <t>Intellect(+3)</t>
    <phoneticPr fontId="1" type="noConversion"/>
  </si>
  <si>
    <t>MaxHealth(+20), Stamina(+2)</t>
    <phoneticPr fontId="1" type="noConversion"/>
  </si>
  <si>
    <t>MaxHealth(+30), Stamina(+3)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</si>
  <si>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</si>
  <si>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</si>
  <si>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MaxHealth(+10)</t>
    <phoneticPr fontId="1" type="noConversion"/>
  </si>
  <si>
    <t>Critical(+0.01)</t>
    <phoneticPr fontId="1" type="noConversion"/>
  </si>
  <si>
    <t>Speed(+0.01)</t>
    <phoneticPr fontId="1" type="noConversion"/>
  </si>
  <si>
    <t>Intellect(+1)</t>
    <phoneticPr fontId="1" type="noConversion"/>
  </si>
  <si>
    <t>MaxHealth(+10), Stamina(+1)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</si>
  <si>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</si>
  <si>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</si>
  <si>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</si>
  <si>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</si>
  <si>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</si>
  <si>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</si>
  <si>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</si>
  <si>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</si>
  <si>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</si>
  <si>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</si>
  <si>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</si>
  <si>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</si>
  <si>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</si>
  <si>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</si>
  <si>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</si>
  <si>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</si>
  <si>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</si>
  <si>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</si>
  <si>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</si>
  <si>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</si>
  <si>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</si>
  <si>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</si>
  <si>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</si>
  <si>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</si>
  <si>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</si>
  <si>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</si>
  <si>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대거다.</t>
    <phoneticPr fontId="1" type="noConversion"/>
  </si>
  <si>
    <t>견습 활이다.</t>
    <phoneticPr fontId="1" type="noConversion"/>
  </si>
  <si>
    <t>견습 완드다.</t>
    <phoneticPr fontId="1" type="noConversion"/>
  </si>
  <si>
    <t>견습 마법서다.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</si>
  <si>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</si>
  <si>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</si>
  <si>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플레이트 아머다.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</si>
  <si>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</si>
  <si>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</si>
  <si>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</si>
  <si>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</si>
  <si>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</si>
  <si>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</si>
  <si>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</si>
  <si>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</si>
  <si>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</si>
  <si>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</si>
  <si>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</si>
  <si>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</si>
  <si>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</si>
  <si>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장비를 만들 수 있는 튼튼한 떡갈나무이다.</t>
    <phoneticPr fontId="1" type="noConversion"/>
  </si>
  <si>
    <t>장비를 만들 수 있는 강철이다.</t>
    <phoneticPr fontId="1" type="noConversion"/>
  </si>
  <si>
    <t>Atk_2</t>
    <phoneticPr fontId="1" type="noConversion"/>
  </si>
  <si>
    <t>shotArrow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</si>
  <si>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</si>
  <si>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</si>
  <si>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</si>
  <si>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</si>
  <si>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Wizard, Healer, Assassin</t>
    <phoneticPr fontId="1" type="noConversion"/>
  </si>
  <si>
    <t>Warrior, Archer, Wizard, Healer, Assassin</t>
    <phoneticPr fontId="1" type="noConversion"/>
  </si>
  <si>
    <t>assassin</t>
    <phoneticPr fontId="1" type="noConversion"/>
  </si>
  <si>
    <t>암살자</t>
    <phoneticPr fontId="1" type="noConversion"/>
  </si>
  <si>
    <t>bleedSlash</t>
    <phoneticPr fontId="1" type="noConversion"/>
  </si>
  <si>
    <t>Exp</t>
    <phoneticPr fontId="1" type="noConversion"/>
  </si>
  <si>
    <t>Exp/Lv</t>
    <phoneticPr fontId="1" type="noConversion"/>
  </si>
  <si>
    <t>Level / Floor</t>
    <phoneticPr fontId="1" type="noConversion"/>
  </si>
  <si>
    <t>층</t>
    <phoneticPr fontId="1" type="noConversion"/>
  </si>
  <si>
    <t>방 갯수</t>
    <phoneticPr fontId="1" type="noConversion"/>
  </si>
  <si>
    <t>룸 갯수</t>
    <phoneticPr fontId="1" type="noConversion"/>
  </si>
  <si>
    <t>몬스터 Min</t>
    <phoneticPr fontId="1" type="noConversion"/>
  </si>
  <si>
    <t>몬스터 Max</t>
    <phoneticPr fontId="1" type="noConversion"/>
  </si>
  <si>
    <t>몬스터 Lv</t>
    <phoneticPr fontId="1" type="noConversion"/>
  </si>
  <si>
    <t>경험치 Min</t>
    <phoneticPr fontId="1" type="noConversion"/>
  </si>
  <si>
    <t>경험치 Max</t>
    <phoneticPr fontId="1" type="noConversion"/>
  </si>
  <si>
    <t>평균 경험치</t>
    <phoneticPr fontId="1" type="noConversion"/>
  </si>
  <si>
    <t>누적 경험치</t>
    <phoneticPr fontId="1" type="noConversion"/>
  </si>
  <si>
    <t>예상 레벨</t>
    <phoneticPr fontId="1" type="noConversion"/>
  </si>
  <si>
    <t>레벨</t>
    <phoneticPr fontId="1" type="noConversion"/>
  </si>
  <si>
    <t>필요 경험치</t>
    <phoneticPr fontId="1" type="noConversion"/>
  </si>
  <si>
    <t>Direct</t>
    <phoneticPr fontId="1" type="noConversion"/>
  </si>
  <si>
    <t>Player</t>
    <phoneticPr fontId="1" type="noConversion"/>
  </si>
  <si>
    <t>Attack</t>
    <phoneticPr fontId="1" type="noConversion"/>
  </si>
  <si>
    <t>MAXHP</t>
    <phoneticPr fontId="1" type="noConversion"/>
  </si>
  <si>
    <t>PLUS STAT</t>
    <phoneticPr fontId="1" type="noConversion"/>
  </si>
  <si>
    <t>Level당 STR 1:1, STA 1:1, Health 1:10 비율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</si>
</sst>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(* #,##0_);_(* \(#,##0\);_(* &quot;-&quot;_);_(@_)"/>
  </numFmts>
  <fonts count="18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sz val="10"/>
      <color theme="9" tint="0.39997558519241921"/>
      <name val="맑은 고딕"/>
      <family val="2"/>
      <charset val="129"/>
      <scheme val="minor"/>
    </font>
    <font>
      <b/>
      <sz val="10"/>
      <color theme="5"/>
      <name val="맑은 고딕"/>
      <family val="2"/>
      <charset val="129"/>
      <scheme val="minor"/>
    </font>
    <font>
      <b/>
      <sz val="10"/>
      <color rgb="FFC00000"/>
      <name val="맑은 고딕"/>
      <family val="2"/>
      <charset val="129"/>
      <scheme val="minor"/>
    </font>
    <font>
      <sz val="10"/>
      <color rgb="FF0070C0"/>
      <name val="맑은 고딕"/>
      <family val="2"/>
      <charset val="129"/>
      <scheme val="minor"/>
    </font>
    <font>
      <b/>
      <sz val="10"/>
      <color rgb="FF0070C0"/>
      <name val="맑은 고딕"/>
      <family val="2"/>
      <charset val="129"/>
      <scheme val="minor"/>
    </font>
    <font>
      <b/>
      <sz val="10"/>
      <color rgb="FF00B050"/>
      <name val="맑은 고딕"/>
      <family val="2"/>
      <charset val="129"/>
      <scheme val="minor"/>
    </font>
    <font>
      <b/>
      <u/>
      <sz val="10"/>
      <color theme="1"/>
      <name val="맑은 고딕"/>
      <family val="2"/>
      <charset val="129"/>
      <scheme val="minor"/>
    </font>
    <font>
      <sz val="10"/>
      <color rgb="FFC00000"/>
      <name val="맑은 고딕"/>
      <family val="2"/>
      <charset val="129"/>
      <scheme val="minor"/>
    </font>
    <font>
      <b/>
      <u/>
      <sz val="10"/>
      <color rgb="FF0070C0"/>
      <name val="맑은 고딕"/>
      <family val="2"/>
      <charset val="129"/>
      <scheme val="minor"/>
    </font>
    <font>
      <b/>
      <u/>
      <sz val="10"/>
      <color rgb="FFC00000"/>
      <name val="맑은 고딕"/>
      <family val="2"/>
      <charset val="129"/>
      <scheme val="minor"/>
    </font>
    <font>
      <b/>
      <u/>
      <sz val="10"/>
      <color rgb="FFFF0000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 diagonalDown="1">
      <left/>
      <right style="medium">
        <color indexed="64"/>
      </right>
      <top/>
      <bottom/>
      <diagonal style="thick">
        <color indexed="64"/>
      </diagonal>
    </border>
  </borders>
  <cellStyleXfs count="3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</cellStyleXfs>
  <cellXfs count="14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1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4" xfId="1" applyNumberFormat="1" applyFont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11" xfId="1" applyNumberFormat="1" applyFont="1" applyFill="1" applyBorder="1" applyAlignment="1">
      <alignment horizontal="center" vertical="center"/>
    </xf>
    <xf numFmtId="0" fontId="2" fillId="3" borderId="13" xfId="0" applyNumberFormat="1" applyFont="1" applyFill="1" applyBorder="1" applyAlignment="1">
      <alignment horizontal="center" vertical="center"/>
    </xf>
    <xf numFmtId="0" fontId="3" fillId="2" borderId="0" xfId="1" applyNumberFormat="1" applyFont="1" applyFill="1" applyBorder="1" applyAlignment="1">
      <alignment horizontal="center" vertical="center"/>
    </xf>
    <xf numFmtId="0" fontId="3" fillId="2" borderId="0" xfId="1" applyNumberFormat="1" applyFont="1" applyFill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20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7" fillId="0" borderId="0" xfId="0" applyFont="1">
      <alignment vertical="center"/>
    </xf>
    <xf numFmtId="0" fontId="3" fillId="0" borderId="1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18" xfId="0" applyFont="1" applyBorder="1">
      <alignment vertical="center"/>
    </xf>
    <xf numFmtId="0" fontId="8" fillId="0" borderId="18" xfId="0" applyFont="1" applyBorder="1" applyAlignment="1">
      <alignment horizontal="center" vertical="center"/>
    </xf>
    <xf numFmtId="41" fontId="9" fillId="0" borderId="18" xfId="2" applyFont="1" applyBorder="1">
      <alignment vertical="center"/>
    </xf>
    <xf numFmtId="0" fontId="8" fillId="0" borderId="2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18" xfId="0" applyFont="1" applyBorder="1">
      <alignment vertical="center"/>
    </xf>
    <xf numFmtId="41" fontId="9" fillId="0" borderId="0" xfId="2" applyFont="1">
      <alignment vertical="center"/>
    </xf>
    <xf numFmtId="0" fontId="8" fillId="0" borderId="22" xfId="0" applyFont="1" applyBorder="1" applyAlignment="1">
      <alignment horizontal="center" vertical="center"/>
    </xf>
    <xf numFmtId="0" fontId="10" fillId="0" borderId="0" xfId="0" applyFont="1">
      <alignment vertical="center"/>
    </xf>
    <xf numFmtId="0" fontId="8" fillId="5" borderId="22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>
      <alignment vertical="center"/>
    </xf>
    <xf numFmtId="0" fontId="8" fillId="5" borderId="0" xfId="0" applyFont="1" applyFill="1" applyAlignment="1">
      <alignment horizontal="center" vertical="center"/>
    </xf>
    <xf numFmtId="41" fontId="9" fillId="5" borderId="0" xfId="2" applyFont="1" applyFill="1">
      <alignment vertical="center"/>
    </xf>
    <xf numFmtId="0" fontId="11" fillId="5" borderId="0" xfId="0" applyFont="1" applyFill="1">
      <alignment vertical="center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>
      <alignment vertical="center"/>
    </xf>
    <xf numFmtId="0" fontId="8" fillId="0" borderId="6" xfId="0" applyFont="1" applyBorder="1" applyAlignment="1">
      <alignment horizontal="center" vertical="center"/>
    </xf>
    <xf numFmtId="41" fontId="9" fillId="0" borderId="6" xfId="2" applyFont="1" applyBorder="1">
      <alignment vertical="center"/>
    </xf>
    <xf numFmtId="0" fontId="8" fillId="0" borderId="9" xfId="0" applyFont="1" applyBorder="1" applyAlignment="1">
      <alignment horizontal="center" vertical="center"/>
    </xf>
    <xf numFmtId="0" fontId="10" fillId="0" borderId="6" xfId="0" applyFont="1" applyBorder="1">
      <alignment vertical="center"/>
    </xf>
    <xf numFmtId="0" fontId="7" fillId="0" borderId="0" xfId="0" applyFont="1" applyAlignment="1">
      <alignment vertical="center" wrapText="1"/>
    </xf>
    <xf numFmtId="0" fontId="2" fillId="0" borderId="21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41" fontId="9" fillId="5" borderId="0" xfId="2" applyFont="1" applyFill="1" applyBorder="1">
      <alignment vertical="center"/>
    </xf>
    <xf numFmtId="0" fontId="3" fillId="0" borderId="0" xfId="0" applyFont="1" applyBorder="1">
      <alignment vertical="center"/>
    </xf>
    <xf numFmtId="0" fontId="12" fillId="5" borderId="20" xfId="0" applyFont="1" applyFill="1" applyBorder="1" applyAlignment="1">
      <alignment horizontal="center" vertical="center"/>
    </xf>
    <xf numFmtId="0" fontId="12" fillId="5" borderId="0" xfId="0" applyFont="1" applyFill="1" applyBorder="1" applyAlignment="1">
      <alignment horizontal="center" vertical="center"/>
    </xf>
    <xf numFmtId="0" fontId="12" fillId="5" borderId="14" xfId="0" applyFont="1" applyFill="1" applyBorder="1" applyAlignment="1">
      <alignment horizontal="center" vertical="center"/>
    </xf>
    <xf numFmtId="0" fontId="11" fillId="5" borderId="2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0" fontId="2" fillId="0" borderId="22" xfId="0" applyFont="1" applyBorder="1" applyAlignment="1">
      <alignment horizontal="right" vertical="center"/>
    </xf>
    <xf numFmtId="0" fontId="2" fillId="0" borderId="9" xfId="0" applyFont="1" applyBorder="1" applyAlignment="1">
      <alignment horizontal="right" vertical="center"/>
    </xf>
    <xf numFmtId="0" fontId="2" fillId="0" borderId="22" xfId="0" applyFont="1" applyBorder="1" applyAlignment="1">
      <alignment horizontal="center" vertical="center"/>
    </xf>
    <xf numFmtId="0" fontId="13" fillId="5" borderId="20" xfId="0" applyFont="1" applyFill="1" applyBorder="1" applyAlignment="1">
      <alignment horizontal="center" vertical="center"/>
    </xf>
    <xf numFmtId="0" fontId="13" fillId="5" borderId="0" xfId="0" applyFont="1" applyFill="1" applyBorder="1" applyAlignment="1">
      <alignment horizontal="center" vertical="center"/>
    </xf>
    <xf numFmtId="0" fontId="13" fillId="5" borderId="14" xfId="0" applyFont="1" applyFill="1" applyBorder="1" applyAlignment="1">
      <alignment horizontal="center" vertical="center"/>
    </xf>
    <xf numFmtId="41" fontId="14" fillId="0" borderId="0" xfId="2" applyFont="1" applyBorder="1">
      <alignment vertical="center"/>
    </xf>
    <xf numFmtId="0" fontId="15" fillId="5" borderId="0" xfId="0" applyFont="1" applyFill="1">
      <alignment vertical="center"/>
    </xf>
    <xf numFmtId="41" fontId="16" fillId="5" borderId="0" xfId="2" applyFont="1" applyFill="1" applyBorder="1">
      <alignment vertical="center"/>
    </xf>
    <xf numFmtId="0" fontId="3" fillId="5" borderId="20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10" fillId="0" borderId="0" xfId="0" applyFont="1" applyFill="1">
      <alignment vertical="center"/>
    </xf>
    <xf numFmtId="41" fontId="14" fillId="0" borderId="0" xfId="2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0" fontId="3" fillId="5" borderId="14" xfId="1" applyNumberFormat="1" applyFont="1" applyFill="1" applyBorder="1" applyAlignment="1">
      <alignment horizontal="center" vertical="center"/>
    </xf>
    <xf numFmtId="0" fontId="17" fillId="5" borderId="20" xfId="0" applyFont="1" applyFill="1" applyBorder="1" applyAlignment="1">
      <alignment horizontal="center" vertical="center"/>
    </xf>
    <xf numFmtId="0" fontId="17" fillId="5" borderId="0" xfId="0" applyFont="1" applyFill="1" applyBorder="1" applyAlignment="1">
      <alignment horizontal="center" vertical="center"/>
    </xf>
    <xf numFmtId="0" fontId="17" fillId="5" borderId="14" xfId="0" applyFont="1" applyFill="1" applyBorder="1" applyAlignment="1">
      <alignment horizontal="center" vertical="center"/>
    </xf>
    <xf numFmtId="41" fontId="14" fillId="0" borderId="18" xfId="2" applyFont="1" applyBorder="1">
      <alignment vertical="center"/>
    </xf>
    <xf numFmtId="41" fontId="14" fillId="0" borderId="6" xfId="2" applyFont="1" applyBorder="1">
      <alignment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tiff"/><Relationship Id="rId13" Type="http://schemas.openxmlformats.org/officeDocument/2006/relationships/image" Target="../media/image13.tiff"/><Relationship Id="rId18" Type="http://schemas.openxmlformats.org/officeDocument/2006/relationships/image" Target="../media/image18.tiff"/><Relationship Id="rId3" Type="http://schemas.openxmlformats.org/officeDocument/2006/relationships/image" Target="../media/image3.tiff"/><Relationship Id="rId7" Type="http://schemas.openxmlformats.org/officeDocument/2006/relationships/image" Target="../media/image7.tiff"/><Relationship Id="rId12" Type="http://schemas.openxmlformats.org/officeDocument/2006/relationships/image" Target="../media/image12.tiff"/><Relationship Id="rId17" Type="http://schemas.openxmlformats.org/officeDocument/2006/relationships/image" Target="../media/image17.tiff"/><Relationship Id="rId2" Type="http://schemas.openxmlformats.org/officeDocument/2006/relationships/image" Target="../media/image2.tiff"/><Relationship Id="rId16" Type="http://schemas.openxmlformats.org/officeDocument/2006/relationships/image" Target="../media/image16.tiff"/><Relationship Id="rId20" Type="http://schemas.openxmlformats.org/officeDocument/2006/relationships/image" Target="../media/image20.tiff"/><Relationship Id="rId1" Type="http://schemas.openxmlformats.org/officeDocument/2006/relationships/image" Target="../media/image1.tiff"/><Relationship Id="rId6" Type="http://schemas.openxmlformats.org/officeDocument/2006/relationships/image" Target="../media/image6.tiff"/><Relationship Id="rId11" Type="http://schemas.openxmlformats.org/officeDocument/2006/relationships/image" Target="../media/image11.tiff"/><Relationship Id="rId5" Type="http://schemas.openxmlformats.org/officeDocument/2006/relationships/image" Target="../media/image5.tiff"/><Relationship Id="rId15" Type="http://schemas.openxmlformats.org/officeDocument/2006/relationships/image" Target="../media/image15.tiff"/><Relationship Id="rId10" Type="http://schemas.openxmlformats.org/officeDocument/2006/relationships/image" Target="../media/image10.tiff"/><Relationship Id="rId19" Type="http://schemas.openxmlformats.org/officeDocument/2006/relationships/image" Target="../media/image19.tiff"/><Relationship Id="rId4" Type="http://schemas.openxmlformats.org/officeDocument/2006/relationships/image" Target="../media/image4.tiff"/><Relationship Id="rId9" Type="http://schemas.openxmlformats.org/officeDocument/2006/relationships/image" Target="../media/image9.tiff"/><Relationship Id="rId14" Type="http://schemas.openxmlformats.org/officeDocument/2006/relationships/image" Target="../media/image14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0</xdr:colOff>
      <xdr:row>1</xdr:row>
      <xdr:rowOff>0</xdr:rowOff>
    </xdr:from>
    <xdr:to>
      <xdr:col>16</xdr:col>
      <xdr:colOff>203200</xdr:colOff>
      <xdr:row>24</xdr:row>
      <xdr:rowOff>203200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</xdr:row>
      <xdr:rowOff>0</xdr:rowOff>
    </xdr:from>
    <xdr:to>
      <xdr:col>18</xdr:col>
      <xdr:colOff>203200</xdr:colOff>
      <xdr:row>24</xdr:row>
      <xdr:rowOff>203200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3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</xdr:row>
      <xdr:rowOff>0</xdr:rowOff>
    </xdr:from>
    <xdr:to>
      <xdr:col>17</xdr:col>
      <xdr:colOff>203200</xdr:colOff>
      <xdr:row>24</xdr:row>
      <xdr:rowOff>203200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18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</xdr:row>
      <xdr:rowOff>0</xdr:rowOff>
    </xdr:from>
    <xdr:to>
      <xdr:col>19</xdr:col>
      <xdr:colOff>203200</xdr:colOff>
      <xdr:row>24</xdr:row>
      <xdr:rowOff>203200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09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</xdr:row>
      <xdr:rowOff>0</xdr:rowOff>
    </xdr:from>
    <xdr:to>
      <xdr:col>20</xdr:col>
      <xdr:colOff>203200</xdr:colOff>
      <xdr:row>24</xdr:row>
      <xdr:rowOff>203200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04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</xdr:row>
      <xdr:rowOff>0</xdr:rowOff>
    </xdr:from>
    <xdr:to>
      <xdr:col>21</xdr:col>
      <xdr:colOff>203200</xdr:colOff>
      <xdr:row>24</xdr:row>
      <xdr:rowOff>203200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99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</xdr:row>
      <xdr:rowOff>0</xdr:rowOff>
    </xdr:from>
    <xdr:to>
      <xdr:col>22</xdr:col>
      <xdr:colOff>203200</xdr:colOff>
      <xdr:row>24</xdr:row>
      <xdr:rowOff>203200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94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23</xdr:col>
      <xdr:colOff>203200</xdr:colOff>
      <xdr:row>24</xdr:row>
      <xdr:rowOff>203200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90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24</xdr:col>
      <xdr:colOff>203200</xdr:colOff>
      <xdr:row>24</xdr:row>
      <xdr:rowOff>203200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85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</xdr:row>
      <xdr:rowOff>0</xdr:rowOff>
    </xdr:from>
    <xdr:to>
      <xdr:col>25</xdr:col>
      <xdr:colOff>203200</xdr:colOff>
      <xdr:row>24</xdr:row>
      <xdr:rowOff>203200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980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1</xdr:row>
      <xdr:rowOff>0</xdr:rowOff>
    </xdr:from>
    <xdr:to>
      <xdr:col>26</xdr:col>
      <xdr:colOff>203200</xdr:colOff>
      <xdr:row>24</xdr:row>
      <xdr:rowOff>203200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75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27</xdr:col>
      <xdr:colOff>203200</xdr:colOff>
      <xdr:row>24</xdr:row>
      <xdr:rowOff>203200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28</xdr:col>
      <xdr:colOff>0</xdr:colOff>
      <xdr:row>1</xdr:row>
      <xdr:rowOff>0</xdr:rowOff>
    </xdr:from>
    <xdr:to>
      <xdr:col>28</xdr:col>
      <xdr:colOff>203200</xdr:colOff>
      <xdr:row>24</xdr:row>
      <xdr:rowOff>203200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1</xdr:row>
      <xdr:rowOff>0</xdr:rowOff>
    </xdr:from>
    <xdr:to>
      <xdr:col>29</xdr:col>
      <xdr:colOff>203200</xdr:colOff>
      <xdr:row>24</xdr:row>
      <xdr:rowOff>203200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</xdr:row>
      <xdr:rowOff>0</xdr:rowOff>
    </xdr:from>
    <xdr:to>
      <xdr:col>30</xdr:col>
      <xdr:colOff>203200</xdr:colOff>
      <xdr:row>24</xdr:row>
      <xdr:rowOff>203200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1</xdr:row>
      <xdr:rowOff>0</xdr:rowOff>
    </xdr:from>
    <xdr:to>
      <xdr:col>31</xdr:col>
      <xdr:colOff>203200</xdr:colOff>
      <xdr:row>24</xdr:row>
      <xdr:rowOff>203200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203200</xdr:colOff>
      <xdr:row>24</xdr:row>
      <xdr:rowOff>203200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203200</xdr:colOff>
      <xdr:row>24</xdr:row>
      <xdr:rowOff>203200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34</xdr:col>
      <xdr:colOff>0</xdr:colOff>
      <xdr:row>1</xdr:row>
      <xdr:rowOff>0</xdr:rowOff>
    </xdr:from>
    <xdr:to>
      <xdr:col>34</xdr:col>
      <xdr:colOff>203200</xdr:colOff>
      <xdr:row>24</xdr:row>
      <xdr:rowOff>203200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1</xdr:row>
      <xdr:rowOff>0</xdr:rowOff>
    </xdr:from>
    <xdr:to>
      <xdr:col>35</xdr:col>
      <xdr:colOff>203200</xdr:colOff>
      <xdr:row>24</xdr:row>
      <xdr:rowOff>203200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twoCellAnchor>
  <xdr:oneCellAnchor>
    <xdr:from>
      <xdr:col>16</xdr:col>
      <xdr:colOff>0</xdr:colOff>
      <xdr:row>2</xdr:row>
      <xdr:rowOff>0</xdr:rowOff>
    </xdr:from>
    <xdr:ext cx="203200" cy="203200"/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203200" cy="203200"/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203200" cy="203200"/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203200" cy="203200"/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203200" cy="203200"/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203200" cy="203200"/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2</xdr:row>
      <xdr:rowOff>0</xdr:rowOff>
    </xdr:from>
    <xdr:ext cx="203200" cy="203200"/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203200" cy="203200"/>
    <xdr:pic>
      <xdr:nvPicPr>
        <xdr:cNvPr id="64" name="그림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203200" cy="203200"/>
    <xdr:pic>
      <xdr:nvPicPr>
        <xdr:cNvPr id="65" name="그림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203200" cy="203200"/>
    <xdr:pic>
      <xdr:nvPicPr>
        <xdr:cNvPr id="66" name="그림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203200" cy="203200"/>
    <xdr:pic>
      <xdr:nvPicPr>
        <xdr:cNvPr id="67" name="그림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203200" cy="203200"/>
    <xdr:pic>
      <xdr:nvPicPr>
        <xdr:cNvPr id="68" name="그림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203200" cy="203200"/>
    <xdr:pic>
      <xdr:nvPicPr>
        <xdr:cNvPr id="69" name="그림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2</xdr:row>
      <xdr:rowOff>0</xdr:rowOff>
    </xdr:from>
    <xdr:ext cx="203200" cy="203200"/>
    <xdr:pic>
      <xdr:nvPicPr>
        <xdr:cNvPr id="70" name="그림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2</xdr:row>
      <xdr:rowOff>0</xdr:rowOff>
    </xdr:from>
    <xdr:ext cx="203200" cy="203200"/>
    <xdr:pic>
      <xdr:nvPicPr>
        <xdr:cNvPr id="71" name="그림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2</xdr:row>
      <xdr:rowOff>0</xdr:rowOff>
    </xdr:from>
    <xdr:ext cx="203200" cy="203200"/>
    <xdr:pic>
      <xdr:nvPicPr>
        <xdr:cNvPr id="72" name="그림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2</xdr:row>
      <xdr:rowOff>0</xdr:rowOff>
    </xdr:from>
    <xdr:ext cx="203200" cy="203200"/>
    <xdr:pic>
      <xdr:nvPicPr>
        <xdr:cNvPr id="73" name="그림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2</xdr:row>
      <xdr:rowOff>0</xdr:rowOff>
    </xdr:from>
    <xdr:ext cx="203200" cy="203200"/>
    <xdr:pic>
      <xdr:nvPicPr>
        <xdr:cNvPr id="74" name="그림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2</xdr:row>
      <xdr:rowOff>0</xdr:rowOff>
    </xdr:from>
    <xdr:ext cx="203200" cy="203200"/>
    <xdr:pic>
      <xdr:nvPicPr>
        <xdr:cNvPr id="75" name="그림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2</xdr:row>
      <xdr:rowOff>0</xdr:rowOff>
    </xdr:from>
    <xdr:ext cx="203200" cy="203200"/>
    <xdr:pic>
      <xdr:nvPicPr>
        <xdr:cNvPr id="76" name="그림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203200" cy="203200"/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203200" cy="203200"/>
    <xdr:pic>
      <xdr:nvPicPr>
        <xdr:cNvPr id="78" name="그림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203200" cy="203200"/>
    <xdr:pic>
      <xdr:nvPicPr>
        <xdr:cNvPr id="79" name="그림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203200" cy="203200"/>
    <xdr:pic>
      <xdr:nvPicPr>
        <xdr:cNvPr id="80" name="그림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203200" cy="203200"/>
    <xdr:pic>
      <xdr:nvPicPr>
        <xdr:cNvPr id="81" name="그림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203200" cy="203200"/>
    <xdr:pic>
      <xdr:nvPicPr>
        <xdr:cNvPr id="82" name="그림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203200" cy="203200"/>
    <xdr:pic>
      <xdr:nvPicPr>
        <xdr:cNvPr id="83" name="그림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203200" cy="203200"/>
    <xdr:pic>
      <xdr:nvPicPr>
        <xdr:cNvPr id="84" name="그림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203200" cy="203200"/>
    <xdr:pic>
      <xdr:nvPicPr>
        <xdr:cNvPr id="85" name="그림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203200" cy="203200"/>
    <xdr:pic>
      <xdr:nvPicPr>
        <xdr:cNvPr id="86" name="그림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203200" cy="203200"/>
    <xdr:pic>
      <xdr:nvPicPr>
        <xdr:cNvPr id="87" name="그림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203200" cy="203200"/>
    <xdr:pic>
      <xdr:nvPicPr>
        <xdr:cNvPr id="88" name="그림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203200" cy="203200"/>
    <xdr:pic>
      <xdr:nvPicPr>
        <xdr:cNvPr id="89" name="그림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3</xdr:row>
      <xdr:rowOff>0</xdr:rowOff>
    </xdr:from>
    <xdr:ext cx="203200" cy="203200"/>
    <xdr:pic>
      <xdr:nvPicPr>
        <xdr:cNvPr id="90" name="그림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3</xdr:row>
      <xdr:rowOff>0</xdr:rowOff>
    </xdr:from>
    <xdr:ext cx="203200" cy="203200"/>
    <xdr:pic>
      <xdr:nvPicPr>
        <xdr:cNvPr id="91" name="그림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3</xdr:row>
      <xdr:rowOff>0</xdr:rowOff>
    </xdr:from>
    <xdr:ext cx="203200" cy="203200"/>
    <xdr:pic>
      <xdr:nvPicPr>
        <xdr:cNvPr id="92" name="그림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3</xdr:row>
      <xdr:rowOff>0</xdr:rowOff>
    </xdr:from>
    <xdr:ext cx="203200" cy="203200"/>
    <xdr:pic>
      <xdr:nvPicPr>
        <xdr:cNvPr id="93" name="그림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3</xdr:row>
      <xdr:rowOff>0</xdr:rowOff>
    </xdr:from>
    <xdr:ext cx="203200" cy="203200"/>
    <xdr:pic>
      <xdr:nvPicPr>
        <xdr:cNvPr id="94" name="그림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3</xdr:row>
      <xdr:rowOff>0</xdr:rowOff>
    </xdr:from>
    <xdr:ext cx="203200" cy="203200"/>
    <xdr:pic>
      <xdr:nvPicPr>
        <xdr:cNvPr id="95" name="그림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3</xdr:row>
      <xdr:rowOff>0</xdr:rowOff>
    </xdr:from>
    <xdr:ext cx="203200" cy="203200"/>
    <xdr:pic>
      <xdr:nvPicPr>
        <xdr:cNvPr id="96" name="그림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114300</xdr:colOff>
          <xdr:row>0</xdr:row>
          <xdr:rowOff>139700</xdr:rowOff>
        </xdr:from>
        <xdr:to>
          <xdr:col>20</xdr:col>
          <xdr:colOff>939800</xdr:colOff>
          <xdr:row>3</xdr:row>
          <xdr:rowOff>88900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AJ73"/>
  <sheetViews>
    <sheetView zoomScaleNormal="100" workbookViewId="0">
      <pane ySplit="29" topLeftCell="A41" activePane="bottomLeft" state="frozen"/>
      <selection pane="bottomLeft" activeCell="G45" sqref="G45"/>
    </sheetView>
  </sheetViews>
  <sheetFormatPr baseColWidth="10" defaultColWidth="10.7109375" defaultRowHeight="18"/>
  <cols>
    <col min="1" max="1" width="7.28515625" style="19" customWidth="1"/>
    <col min="2" max="2" width="12.140625" style="20" customWidth="1"/>
    <col min="3" max="3" width="14" style="20" customWidth="1"/>
    <col min="4" max="4" width="20.5703125" style="20" customWidth="1"/>
    <col min="5" max="5" width="10.7109375" style="20" customWidth="1"/>
    <col min="6" max="6" width="28" style="20" customWidth="1"/>
    <col min="7" max="7" width="29.85546875" style="20" customWidth="1"/>
    <col min="8" max="9" width="10.7109375" style="20"/>
    <col min="10" max="11" width="12.7109375" style="20" customWidth="1"/>
    <col min="12" max="12" width="16.140625" style="20" customWidth="1"/>
    <col min="13" max="13" width="26.28515625" style="33" customWidth="1"/>
    <col min="16" max="36" width="2.7109375" customWidth="1"/>
  </cols>
  <sheetData>
    <row r="1" spans="1:36" ht="19" hidden="1" thickBot="1">
      <c r="A1" s="3" t="s">
        <v>1</v>
      </c>
      <c r="B1" s="4" t="s">
        <v>12</v>
      </c>
      <c r="C1" s="5" t="s">
        <v>3</v>
      </c>
      <c r="D1" s="28" t="s">
        <v>52</v>
      </c>
      <c r="E1" s="6"/>
      <c r="F1" s="7"/>
      <c r="G1" s="7"/>
      <c r="H1" s="7"/>
      <c r="I1" s="7"/>
      <c r="J1" s="7"/>
      <c r="K1" s="7"/>
      <c r="L1" s="7"/>
      <c r="M1" s="29"/>
      <c r="P1">
        <v>0</v>
      </c>
      <c r="Q1">
        <v>1</v>
      </c>
      <c r="R1">
        <v>2</v>
      </c>
      <c r="S1">
        <v>3</v>
      </c>
      <c r="T1">
        <v>4</v>
      </c>
      <c r="U1">
        <v>5</v>
      </c>
      <c r="V1">
        <v>6</v>
      </c>
      <c r="W1">
        <v>7</v>
      </c>
      <c r="X1">
        <v>8</v>
      </c>
      <c r="Y1">
        <v>9</v>
      </c>
      <c r="Z1">
        <v>10</v>
      </c>
      <c r="AA1">
        <v>11</v>
      </c>
      <c r="AB1">
        <v>12</v>
      </c>
      <c r="AC1">
        <v>13</v>
      </c>
      <c r="AD1">
        <v>14</v>
      </c>
      <c r="AE1">
        <v>15</v>
      </c>
      <c r="AF1">
        <v>16</v>
      </c>
      <c r="AG1">
        <v>17</v>
      </c>
      <c r="AH1">
        <v>18</v>
      </c>
      <c r="AI1">
        <v>19</v>
      </c>
      <c r="AJ1">
        <v>20</v>
      </c>
    </row>
    <row r="2" spans="1:36" hidden="1">
      <c r="A2" s="8" t="s">
        <v>17</v>
      </c>
      <c r="B2" s="9" t="s">
        <v>14</v>
      </c>
      <c r="C2" s="9" t="s">
        <v>37</v>
      </c>
      <c r="D2" s="9" t="s">
        <v>65</v>
      </c>
      <c r="E2" s="7"/>
      <c r="F2" s="7"/>
      <c r="G2" s="7"/>
      <c r="H2" s="7"/>
      <c r="I2" s="7"/>
      <c r="J2" s="7"/>
      <c r="K2" s="7"/>
      <c r="L2" s="7"/>
      <c r="M2" s="29"/>
      <c r="O2">
        <v>0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hidden="1">
      <c r="A3" s="10" t="s">
        <v>18</v>
      </c>
      <c r="B3" s="7" t="s">
        <v>15</v>
      </c>
      <c r="C3" s="7" t="s">
        <v>38</v>
      </c>
      <c r="D3" s="7" t="s">
        <v>50</v>
      </c>
      <c r="E3" s="7"/>
      <c r="F3" s="7"/>
      <c r="G3" s="7"/>
      <c r="H3" s="7"/>
      <c r="I3" s="7"/>
      <c r="J3" s="7"/>
      <c r="K3" s="7"/>
      <c r="L3" s="7"/>
      <c r="M3" s="29"/>
      <c r="O3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hidden="1">
      <c r="A4" s="10" t="s">
        <v>19</v>
      </c>
      <c r="B4" s="7" t="s">
        <v>23</v>
      </c>
      <c r="C4" s="7" t="s">
        <v>39</v>
      </c>
      <c r="D4" s="7" t="s">
        <v>66</v>
      </c>
      <c r="E4" s="7"/>
      <c r="F4" s="7"/>
      <c r="G4" s="7"/>
      <c r="H4" s="7"/>
      <c r="I4" s="7"/>
      <c r="J4" s="7"/>
      <c r="K4" s="7"/>
      <c r="L4" s="7"/>
      <c r="M4" s="29"/>
      <c r="O4">
        <v>2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hidden="1">
      <c r="A5" s="10" t="s">
        <v>20</v>
      </c>
      <c r="B5" s="7" t="s">
        <v>24</v>
      </c>
      <c r="C5" s="7" t="s">
        <v>40</v>
      </c>
      <c r="D5" s="7" t="s">
        <v>67</v>
      </c>
      <c r="E5" s="7"/>
      <c r="F5" s="7"/>
      <c r="G5" s="7"/>
      <c r="H5" s="7"/>
      <c r="I5" s="7"/>
      <c r="J5" s="7"/>
      <c r="K5" s="7"/>
      <c r="L5" s="7"/>
      <c r="M5" s="29"/>
      <c r="O5">
        <v>3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hidden="1">
      <c r="A6" s="10" t="s">
        <v>21</v>
      </c>
      <c r="B6" s="7" t="s">
        <v>25</v>
      </c>
      <c r="C6" s="7" t="s">
        <v>41</v>
      </c>
      <c r="D6" s="7" t="s">
        <v>255</v>
      </c>
      <c r="E6" s="7"/>
      <c r="F6" s="7"/>
      <c r="G6" s="7"/>
      <c r="H6" s="7"/>
      <c r="I6" s="7"/>
      <c r="J6" s="7"/>
      <c r="K6" s="7"/>
      <c r="L6" s="7"/>
      <c r="M6" s="29"/>
      <c r="O6">
        <v>4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9"/>
      <c r="O7">
        <v>5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9"/>
      <c r="O8">
        <v>6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9"/>
      <c r="O9">
        <v>7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9"/>
      <c r="O10">
        <v>8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9"/>
      <c r="O11">
        <v>9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36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9"/>
      <c r="O12">
        <v>10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36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9"/>
      <c r="O13">
        <v>11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36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9"/>
      <c r="O14">
        <v>12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9"/>
      <c r="O15">
        <v>13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9"/>
      <c r="O16">
        <v>14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9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9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9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9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9"/>
    </row>
    <row r="22" spans="1:36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9"/>
    </row>
    <row r="23" spans="1:36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9"/>
    </row>
    <row r="24" spans="1:36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9"/>
    </row>
    <row r="25" spans="1:36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30"/>
    </row>
    <row r="26" spans="1:36" ht="19" thickBot="1">
      <c r="A26" s="21" t="s">
        <v>47</v>
      </c>
      <c r="B26" s="13"/>
      <c r="C26" s="122" t="s">
        <v>42</v>
      </c>
      <c r="D26" s="123"/>
      <c r="E26" s="123"/>
      <c r="F26" s="124"/>
      <c r="G26" s="122" t="s">
        <v>9</v>
      </c>
      <c r="H26" s="124"/>
      <c r="I26" s="13"/>
      <c r="J26" s="24" t="s">
        <v>45</v>
      </c>
      <c r="K26" s="21" t="s">
        <v>46</v>
      </c>
      <c r="L26" s="13"/>
      <c r="M26" s="30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6" ht="19" thickBot="1">
      <c r="A27" s="51">
        <f>COUNTA(A30:A109999)</f>
        <v>44</v>
      </c>
      <c r="B27" s="13"/>
      <c r="C27" s="125" t="s">
        <v>199</v>
      </c>
      <c r="D27" s="126"/>
      <c r="E27" s="126"/>
      <c r="F27" s="127"/>
      <c r="G27" s="125" t="s">
        <v>256</v>
      </c>
      <c r="H27" s="127"/>
      <c r="I27" s="13"/>
      <c r="J27" s="23" t="s">
        <v>43</v>
      </c>
      <c r="K27" s="22" t="s">
        <v>44</v>
      </c>
      <c r="L27" s="13"/>
      <c r="M27" s="31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6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3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6" ht="19" thickBot="1">
      <c r="A29" s="16" t="s">
        <v>0</v>
      </c>
      <c r="B29" s="17" t="s">
        <v>1</v>
      </c>
      <c r="C29" s="17" t="s">
        <v>12</v>
      </c>
      <c r="D29" s="17" t="s">
        <v>2</v>
      </c>
      <c r="E29" s="17" t="s">
        <v>3</v>
      </c>
      <c r="F29" s="17" t="s">
        <v>10</v>
      </c>
      <c r="G29" s="17" t="s">
        <v>9</v>
      </c>
      <c r="H29" s="17" t="s">
        <v>4</v>
      </c>
      <c r="I29" s="17" t="s">
        <v>5</v>
      </c>
      <c r="J29" s="17" t="s">
        <v>6</v>
      </c>
      <c r="K29" s="17" t="s">
        <v>7</v>
      </c>
      <c r="L29" s="17" t="s">
        <v>8</v>
      </c>
      <c r="M29" s="18" t="s">
        <v>11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6">
      <c r="A30" s="19">
        <v>1</v>
      </c>
      <c r="B30" s="20" t="s">
        <v>16</v>
      </c>
      <c r="C30" s="20" t="s">
        <v>13</v>
      </c>
      <c r="D30" s="20" t="s">
        <v>151</v>
      </c>
      <c r="E30" s="20" t="s">
        <v>36</v>
      </c>
      <c r="F30" s="20" t="s">
        <v>192</v>
      </c>
      <c r="G30" s="20" t="s">
        <v>257</v>
      </c>
      <c r="H30" s="20">
        <v>1</v>
      </c>
      <c r="I30" s="20">
        <v>100</v>
      </c>
      <c r="J30" s="20">
        <v>0</v>
      </c>
      <c r="K30" s="20">
        <v>9</v>
      </c>
      <c r="L30" s="20" t="s">
        <v>48</v>
      </c>
      <c r="M30" s="33" t="s">
        <v>229</v>
      </c>
    </row>
    <row r="31" spans="1:36">
      <c r="A31" s="19">
        <v>101</v>
      </c>
      <c r="B31" s="20" t="s">
        <v>16</v>
      </c>
      <c r="C31" s="20" t="s">
        <v>137</v>
      </c>
      <c r="D31" s="20" t="s">
        <v>149</v>
      </c>
      <c r="E31" s="20" t="s">
        <v>37</v>
      </c>
      <c r="F31" s="20" t="s">
        <v>49</v>
      </c>
      <c r="G31" s="20" t="s">
        <v>65</v>
      </c>
      <c r="H31" s="20">
        <v>1</v>
      </c>
      <c r="I31" s="20">
        <v>100</v>
      </c>
      <c r="J31" s="20">
        <v>10</v>
      </c>
      <c r="K31" s="20">
        <v>9</v>
      </c>
      <c r="L31" s="20" t="s">
        <v>48</v>
      </c>
      <c r="M31" s="33" t="s">
        <v>230</v>
      </c>
    </row>
    <row r="32" spans="1:36">
      <c r="A32" s="19">
        <v>201</v>
      </c>
      <c r="B32" s="20" t="s">
        <v>16</v>
      </c>
      <c r="C32" s="20" t="s">
        <v>136</v>
      </c>
      <c r="D32" s="20" t="s">
        <v>150</v>
      </c>
      <c r="E32" s="20" t="s">
        <v>36</v>
      </c>
      <c r="F32" s="20" t="s">
        <v>193</v>
      </c>
      <c r="G32" s="20" t="s">
        <v>258</v>
      </c>
      <c r="H32" s="20">
        <v>1</v>
      </c>
      <c r="I32" s="20">
        <v>100</v>
      </c>
      <c r="J32" s="20">
        <v>7</v>
      </c>
      <c r="K32" s="20">
        <v>9</v>
      </c>
      <c r="L32" s="20" t="s">
        <v>48</v>
      </c>
      <c r="M32" s="33" t="s">
        <v>231</v>
      </c>
    </row>
    <row r="33" spans="1:13">
      <c r="A33" s="19">
        <v>301</v>
      </c>
      <c r="B33" s="20" t="s">
        <v>16</v>
      </c>
      <c r="C33" s="20" t="s">
        <v>138</v>
      </c>
      <c r="D33" s="20" t="s">
        <v>152</v>
      </c>
      <c r="E33" s="20" t="s">
        <v>37</v>
      </c>
      <c r="F33" s="20" t="s">
        <v>194</v>
      </c>
      <c r="G33" s="20" t="s">
        <v>50</v>
      </c>
      <c r="H33" s="20">
        <v>1</v>
      </c>
      <c r="I33" s="20">
        <v>100</v>
      </c>
      <c r="J33" s="20">
        <v>14</v>
      </c>
      <c r="K33" s="20">
        <v>8</v>
      </c>
      <c r="L33" s="20" t="s">
        <v>48</v>
      </c>
      <c r="M33" s="33" t="s">
        <v>232</v>
      </c>
    </row>
    <row r="34" spans="1:13">
      <c r="A34" s="19">
        <v>401</v>
      </c>
      <c r="B34" s="20" t="s">
        <v>16</v>
      </c>
      <c r="C34" s="20" t="s">
        <v>114</v>
      </c>
      <c r="D34" s="20" t="s">
        <v>153</v>
      </c>
      <c r="E34" s="20" t="s">
        <v>37</v>
      </c>
      <c r="F34" s="20" t="s">
        <v>195</v>
      </c>
      <c r="G34" s="20" t="s">
        <v>67</v>
      </c>
      <c r="H34" s="20">
        <v>1</v>
      </c>
      <c r="I34" s="20">
        <v>100</v>
      </c>
      <c r="J34" s="20">
        <v>1</v>
      </c>
      <c r="K34" s="20">
        <v>8</v>
      </c>
      <c r="L34" s="20" t="s">
        <v>48</v>
      </c>
      <c r="M34" s="33" t="s">
        <v>233</v>
      </c>
    </row>
    <row r="35" spans="1:13">
      <c r="A35" s="19">
        <v>501</v>
      </c>
      <c r="B35" s="20" t="s">
        <v>16</v>
      </c>
      <c r="C35" s="20" t="s">
        <v>139</v>
      </c>
      <c r="D35" s="20" t="s">
        <v>154</v>
      </c>
      <c r="E35" s="20" t="s">
        <v>37</v>
      </c>
      <c r="F35" s="20" t="s">
        <v>195</v>
      </c>
      <c r="G35" s="20" t="s">
        <v>66</v>
      </c>
      <c r="H35" s="20">
        <v>1</v>
      </c>
      <c r="I35" s="20">
        <v>100</v>
      </c>
      <c r="J35" s="20">
        <v>0</v>
      </c>
      <c r="K35" s="20">
        <v>3</v>
      </c>
      <c r="L35" s="20" t="s">
        <v>48</v>
      </c>
      <c r="M35" s="33" t="s">
        <v>234</v>
      </c>
    </row>
    <row r="36" spans="1:13">
      <c r="A36" s="19">
        <v>1001</v>
      </c>
      <c r="B36" s="20" t="s">
        <v>18</v>
      </c>
      <c r="C36" s="20" t="s">
        <v>140</v>
      </c>
      <c r="D36" s="20" t="s">
        <v>155</v>
      </c>
      <c r="E36" s="20" t="s">
        <v>37</v>
      </c>
      <c r="F36" s="20" t="s">
        <v>196</v>
      </c>
      <c r="G36" s="20" t="s">
        <v>259</v>
      </c>
      <c r="H36" s="20">
        <v>1</v>
      </c>
      <c r="I36" s="20">
        <v>100</v>
      </c>
      <c r="J36" s="20">
        <v>7</v>
      </c>
      <c r="K36" s="20">
        <v>11</v>
      </c>
      <c r="L36" s="20" t="s">
        <v>48</v>
      </c>
      <c r="M36" s="33" t="s">
        <v>235</v>
      </c>
    </row>
    <row r="37" spans="1:13">
      <c r="A37" s="19">
        <v>1101</v>
      </c>
      <c r="B37" s="20" t="s">
        <v>18</v>
      </c>
      <c r="C37" s="20" t="s">
        <v>141</v>
      </c>
      <c r="D37" s="20" t="s">
        <v>156</v>
      </c>
      <c r="E37" s="20" t="s">
        <v>37</v>
      </c>
      <c r="F37" s="20" t="s">
        <v>197</v>
      </c>
      <c r="G37" s="20" t="s">
        <v>257</v>
      </c>
      <c r="H37" s="20">
        <v>1</v>
      </c>
      <c r="I37" s="20">
        <v>100</v>
      </c>
      <c r="J37" s="20">
        <v>0</v>
      </c>
      <c r="K37" s="20">
        <v>12</v>
      </c>
      <c r="L37" s="20" t="s">
        <v>48</v>
      </c>
      <c r="M37" s="33" t="s">
        <v>236</v>
      </c>
    </row>
    <row r="38" spans="1:13">
      <c r="A38" s="19">
        <v>1201</v>
      </c>
      <c r="B38" s="20" t="s">
        <v>18</v>
      </c>
      <c r="C38" s="20" t="s">
        <v>142</v>
      </c>
      <c r="D38" s="20" t="s">
        <v>157</v>
      </c>
      <c r="E38" s="20" t="s">
        <v>37</v>
      </c>
      <c r="F38" s="50" t="s">
        <v>198</v>
      </c>
      <c r="G38" s="20" t="s">
        <v>65</v>
      </c>
      <c r="H38" s="20">
        <v>1</v>
      </c>
      <c r="I38" s="20">
        <v>100</v>
      </c>
      <c r="J38" s="20">
        <v>4</v>
      </c>
      <c r="K38" s="20">
        <v>12</v>
      </c>
      <c r="L38" s="20" t="s">
        <v>48</v>
      </c>
      <c r="M38" s="33" t="s">
        <v>237</v>
      </c>
    </row>
    <row r="39" spans="1:13">
      <c r="A39" s="19">
        <v>2001</v>
      </c>
      <c r="B39" s="20" t="s">
        <v>135</v>
      </c>
      <c r="C39" s="20" t="s">
        <v>143</v>
      </c>
      <c r="D39" s="20" t="s">
        <v>158</v>
      </c>
      <c r="E39" s="20" t="s">
        <v>37</v>
      </c>
      <c r="F39" s="20" t="s">
        <v>192</v>
      </c>
      <c r="G39" s="20" t="s">
        <v>260</v>
      </c>
      <c r="H39" s="20">
        <v>1</v>
      </c>
      <c r="I39" s="20">
        <v>100</v>
      </c>
      <c r="J39" s="20">
        <v>15</v>
      </c>
      <c r="K39" s="20">
        <v>11</v>
      </c>
      <c r="L39" s="20" t="s">
        <v>48</v>
      </c>
      <c r="M39" s="33" t="s">
        <v>238</v>
      </c>
    </row>
    <row r="40" spans="1:13">
      <c r="A40" s="19">
        <v>2101</v>
      </c>
      <c r="B40" s="20" t="s">
        <v>135</v>
      </c>
      <c r="C40" s="20" t="s">
        <v>144</v>
      </c>
      <c r="D40" s="20" t="s">
        <v>159</v>
      </c>
      <c r="E40" s="20" t="s">
        <v>37</v>
      </c>
      <c r="F40" s="20" t="s">
        <v>200</v>
      </c>
      <c r="G40" s="20" t="s">
        <v>260</v>
      </c>
      <c r="H40" s="20">
        <v>1</v>
      </c>
      <c r="I40" s="20">
        <v>100</v>
      </c>
      <c r="J40" s="20">
        <v>10</v>
      </c>
      <c r="K40" s="20">
        <v>12</v>
      </c>
      <c r="L40" s="20" t="s">
        <v>48</v>
      </c>
      <c r="M40" s="33" t="s">
        <v>239</v>
      </c>
    </row>
    <row r="41" spans="1:13">
      <c r="A41" s="19">
        <v>2201</v>
      </c>
      <c r="B41" s="20" t="s">
        <v>135</v>
      </c>
      <c r="C41" s="20" t="s">
        <v>145</v>
      </c>
      <c r="D41" s="20" t="s">
        <v>160</v>
      </c>
      <c r="E41" s="20" t="s">
        <v>37</v>
      </c>
      <c r="F41" s="20" t="s">
        <v>201</v>
      </c>
      <c r="G41" s="20" t="s">
        <v>260</v>
      </c>
      <c r="H41" s="20">
        <v>1</v>
      </c>
      <c r="I41" s="20">
        <v>100</v>
      </c>
      <c r="J41" s="20">
        <v>9</v>
      </c>
      <c r="K41" s="20">
        <v>3</v>
      </c>
      <c r="L41" s="20" t="s">
        <v>48</v>
      </c>
      <c r="M41" s="33" t="s">
        <v>240</v>
      </c>
    </row>
    <row r="42" spans="1:13">
      <c r="A42" s="19">
        <v>2301</v>
      </c>
      <c r="B42" s="20" t="s">
        <v>135</v>
      </c>
      <c r="C42" s="20" t="s">
        <v>146</v>
      </c>
      <c r="D42" s="20" t="s">
        <v>161</v>
      </c>
      <c r="E42" s="20" t="s">
        <v>37</v>
      </c>
      <c r="F42" s="20" t="s">
        <v>202</v>
      </c>
      <c r="G42" s="20" t="s">
        <v>260</v>
      </c>
      <c r="H42" s="20">
        <v>1</v>
      </c>
      <c r="I42" s="20">
        <v>100</v>
      </c>
      <c r="J42" s="20">
        <v>0</v>
      </c>
      <c r="K42" s="20">
        <v>13</v>
      </c>
      <c r="L42" s="20" t="s">
        <v>48</v>
      </c>
      <c r="M42" s="33" t="s">
        <v>241</v>
      </c>
    </row>
    <row r="43" spans="1:13">
      <c r="A43" s="19">
        <v>2401</v>
      </c>
      <c r="B43" s="20" t="s">
        <v>135</v>
      </c>
      <c r="C43" s="20" t="s">
        <v>147</v>
      </c>
      <c r="D43" s="20" t="s">
        <v>162</v>
      </c>
      <c r="E43" s="20" t="s">
        <v>37</v>
      </c>
      <c r="F43" s="20" t="s">
        <v>203</v>
      </c>
      <c r="G43" s="20" t="s">
        <v>260</v>
      </c>
      <c r="H43" s="20">
        <v>1</v>
      </c>
      <c r="I43" s="20">
        <v>100</v>
      </c>
      <c r="J43" s="20">
        <v>1</v>
      </c>
      <c r="K43" s="20">
        <v>1</v>
      </c>
      <c r="L43" s="20" t="s">
        <v>48</v>
      </c>
      <c r="M43" s="33" t="s">
        <v>242</v>
      </c>
    </row>
    <row r="44" spans="1:13">
      <c r="A44" s="19">
        <v>2501</v>
      </c>
      <c r="B44" s="20" t="s">
        <v>135</v>
      </c>
      <c r="C44" s="20" t="s">
        <v>148</v>
      </c>
      <c r="D44" s="20" t="s">
        <v>163</v>
      </c>
      <c r="E44" s="20" t="s">
        <v>37</v>
      </c>
      <c r="F44" s="20" t="s">
        <v>204</v>
      </c>
      <c r="G44" s="20" t="s">
        <v>65</v>
      </c>
      <c r="H44" s="20">
        <v>1</v>
      </c>
      <c r="I44" s="20">
        <v>100</v>
      </c>
      <c r="J44" s="20">
        <v>0</v>
      </c>
      <c r="K44" s="20">
        <v>10</v>
      </c>
      <c r="L44" s="20" t="s">
        <v>48</v>
      </c>
      <c r="M44" s="33" t="s">
        <v>243</v>
      </c>
    </row>
    <row r="45" spans="1:13">
      <c r="A45" s="19">
        <v>3001</v>
      </c>
      <c r="B45" s="20" t="s">
        <v>134</v>
      </c>
      <c r="D45" s="20" t="s">
        <v>167</v>
      </c>
      <c r="E45" s="20" t="s">
        <v>37</v>
      </c>
      <c r="F45" s="20" t="s">
        <v>205</v>
      </c>
      <c r="H45" s="20">
        <v>1</v>
      </c>
      <c r="I45" s="20">
        <v>100</v>
      </c>
      <c r="J45" s="20">
        <v>2</v>
      </c>
      <c r="K45" s="20">
        <v>0</v>
      </c>
      <c r="L45" s="20" t="s">
        <v>48</v>
      </c>
      <c r="M45" s="33" t="s">
        <v>244</v>
      </c>
    </row>
    <row r="46" spans="1:13">
      <c r="A46" s="19">
        <v>3002</v>
      </c>
      <c r="B46" s="20" t="s">
        <v>134</v>
      </c>
      <c r="D46" s="20" t="s">
        <v>166</v>
      </c>
      <c r="E46" s="20" t="s">
        <v>37</v>
      </c>
      <c r="F46" s="20" t="s">
        <v>206</v>
      </c>
      <c r="H46" s="20">
        <v>1</v>
      </c>
      <c r="I46" s="20">
        <v>100</v>
      </c>
      <c r="J46" s="20">
        <v>8</v>
      </c>
      <c r="K46" s="20">
        <v>0</v>
      </c>
      <c r="L46" s="20" t="s">
        <v>48</v>
      </c>
      <c r="M46" s="33" t="s">
        <v>245</v>
      </c>
    </row>
    <row r="47" spans="1:13">
      <c r="A47" s="19">
        <v>3003</v>
      </c>
      <c r="B47" s="20" t="s">
        <v>134</v>
      </c>
      <c r="D47" s="20" t="s">
        <v>165</v>
      </c>
      <c r="E47" s="20" t="s">
        <v>38</v>
      </c>
      <c r="F47" s="50" t="s">
        <v>207</v>
      </c>
      <c r="H47" s="20">
        <v>1</v>
      </c>
      <c r="I47" s="20">
        <v>100</v>
      </c>
      <c r="J47" s="20">
        <v>14</v>
      </c>
      <c r="K47" s="20">
        <v>0</v>
      </c>
      <c r="L47" s="20" t="s">
        <v>48</v>
      </c>
      <c r="M47" s="33" t="s">
        <v>246</v>
      </c>
    </row>
    <row r="48" spans="1:13">
      <c r="A48" s="19">
        <v>3004</v>
      </c>
      <c r="B48" s="20" t="s">
        <v>134</v>
      </c>
      <c r="D48" s="20" t="s">
        <v>164</v>
      </c>
      <c r="E48" s="20" t="s">
        <v>38</v>
      </c>
      <c r="F48" s="20" t="s">
        <v>208</v>
      </c>
      <c r="H48" s="20">
        <v>1</v>
      </c>
      <c r="I48" s="20">
        <v>100</v>
      </c>
      <c r="J48" s="20">
        <v>21</v>
      </c>
      <c r="K48" s="20">
        <v>0</v>
      </c>
      <c r="L48" s="20" t="s">
        <v>48</v>
      </c>
      <c r="M48" s="33" t="s">
        <v>247</v>
      </c>
    </row>
    <row r="49" spans="1:13">
      <c r="A49" s="19">
        <v>4001</v>
      </c>
      <c r="B49" s="20" t="s">
        <v>133</v>
      </c>
      <c r="D49" s="20" t="s">
        <v>168</v>
      </c>
      <c r="E49" s="20" t="s">
        <v>37</v>
      </c>
      <c r="H49" s="20">
        <v>1</v>
      </c>
      <c r="I49" s="20">
        <v>100</v>
      </c>
      <c r="J49" s="20">
        <v>8</v>
      </c>
      <c r="K49" s="20">
        <v>4</v>
      </c>
      <c r="L49" s="20" t="s">
        <v>48</v>
      </c>
      <c r="M49" s="33" t="s">
        <v>248</v>
      </c>
    </row>
    <row r="50" spans="1:13">
      <c r="A50" s="19">
        <v>4002</v>
      </c>
      <c r="B50" s="20" t="s">
        <v>133</v>
      </c>
      <c r="D50" s="20" t="s">
        <v>169</v>
      </c>
      <c r="E50" s="20" t="s">
        <v>38</v>
      </c>
      <c r="H50" s="20">
        <v>1</v>
      </c>
      <c r="I50" s="20">
        <v>100</v>
      </c>
      <c r="J50" s="20">
        <v>7</v>
      </c>
      <c r="K50" s="20">
        <v>4</v>
      </c>
      <c r="L50" s="20" t="s">
        <v>48</v>
      </c>
      <c r="M50" s="33" t="s">
        <v>249</v>
      </c>
    </row>
    <row r="51" spans="1:13">
      <c r="A51" s="19">
        <v>4003</v>
      </c>
      <c r="B51" s="20" t="s">
        <v>133</v>
      </c>
      <c r="D51" s="20" t="s">
        <v>170</v>
      </c>
      <c r="E51" s="20" t="s">
        <v>37</v>
      </c>
      <c r="H51" s="20">
        <v>1</v>
      </c>
      <c r="I51" s="20">
        <v>100</v>
      </c>
      <c r="J51" s="20">
        <v>6</v>
      </c>
      <c r="K51" s="20">
        <v>4</v>
      </c>
      <c r="L51" s="20" t="s">
        <v>48</v>
      </c>
      <c r="M51" s="33" t="s">
        <v>250</v>
      </c>
    </row>
    <row r="52" spans="1:13">
      <c r="A52" s="19">
        <v>4004</v>
      </c>
      <c r="B52" s="20" t="s">
        <v>133</v>
      </c>
      <c r="D52" s="20" t="s">
        <v>171</v>
      </c>
      <c r="E52" s="20" t="s">
        <v>37</v>
      </c>
      <c r="H52" s="20">
        <v>1</v>
      </c>
      <c r="I52" s="20">
        <v>100</v>
      </c>
      <c r="J52" s="20">
        <v>5</v>
      </c>
      <c r="K52" s="20">
        <v>4</v>
      </c>
      <c r="L52" s="20" t="s">
        <v>48</v>
      </c>
      <c r="M52" s="33" t="s">
        <v>250</v>
      </c>
    </row>
    <row r="53" spans="1:13">
      <c r="A53" s="19">
        <v>4005</v>
      </c>
      <c r="B53" s="20" t="s">
        <v>133</v>
      </c>
      <c r="D53" s="20" t="s">
        <v>172</v>
      </c>
      <c r="E53" s="20" t="s">
        <v>37</v>
      </c>
      <c r="H53" s="20">
        <v>1</v>
      </c>
      <c r="I53" s="20">
        <v>100</v>
      </c>
      <c r="J53" s="20">
        <v>2</v>
      </c>
      <c r="K53" s="20">
        <v>8</v>
      </c>
      <c r="L53" s="20" t="s">
        <v>48</v>
      </c>
      <c r="M53" s="33" t="s">
        <v>251</v>
      </c>
    </row>
    <row r="54" spans="1:13">
      <c r="A54" s="19">
        <v>4006</v>
      </c>
      <c r="B54" s="20" t="s">
        <v>21</v>
      </c>
      <c r="D54" s="20" t="s">
        <v>173</v>
      </c>
      <c r="E54" s="20" t="s">
        <v>37</v>
      </c>
      <c r="H54" s="20">
        <v>1</v>
      </c>
      <c r="I54" s="20">
        <v>100</v>
      </c>
      <c r="J54" s="20">
        <v>21</v>
      </c>
      <c r="K54" s="20">
        <v>4</v>
      </c>
      <c r="L54" s="20" t="s">
        <v>48</v>
      </c>
      <c r="M54" s="33" t="s">
        <v>252</v>
      </c>
    </row>
    <row r="55" spans="1:13">
      <c r="A55" s="19">
        <v>5001</v>
      </c>
      <c r="B55" s="20" t="s">
        <v>132</v>
      </c>
      <c r="D55" s="20" t="s">
        <v>174</v>
      </c>
      <c r="E55" s="20" t="s">
        <v>37</v>
      </c>
      <c r="H55" s="20">
        <v>1</v>
      </c>
      <c r="I55" s="20">
        <v>100</v>
      </c>
      <c r="J55" s="20">
        <v>3</v>
      </c>
      <c r="K55" s="20">
        <v>6</v>
      </c>
      <c r="L55" s="20" t="s">
        <v>48</v>
      </c>
      <c r="M55" s="33" t="s">
        <v>211</v>
      </c>
    </row>
    <row r="56" spans="1:13">
      <c r="A56" s="19">
        <v>5002</v>
      </c>
      <c r="B56" s="20" t="s">
        <v>132</v>
      </c>
      <c r="D56" s="20" t="s">
        <v>175</v>
      </c>
      <c r="E56" s="20" t="s">
        <v>37</v>
      </c>
      <c r="H56" s="20">
        <v>1</v>
      </c>
      <c r="I56" s="20">
        <v>100</v>
      </c>
      <c r="J56" s="20">
        <v>3</v>
      </c>
      <c r="K56" s="20">
        <v>6</v>
      </c>
      <c r="L56" s="20" t="s">
        <v>48</v>
      </c>
      <c r="M56" s="33" t="s">
        <v>212</v>
      </c>
    </row>
    <row r="57" spans="1:13">
      <c r="A57" s="19">
        <v>5003</v>
      </c>
      <c r="B57" s="20" t="s">
        <v>132</v>
      </c>
      <c r="D57" s="20" t="s">
        <v>176</v>
      </c>
      <c r="E57" s="20" t="s">
        <v>37</v>
      </c>
      <c r="H57" s="20">
        <v>1</v>
      </c>
      <c r="I57" s="20">
        <v>100</v>
      </c>
      <c r="J57" s="20">
        <v>3</v>
      </c>
      <c r="K57" s="20">
        <v>6</v>
      </c>
      <c r="L57" s="20" t="s">
        <v>48</v>
      </c>
      <c r="M57" s="33" t="s">
        <v>213</v>
      </c>
    </row>
    <row r="58" spans="1:13">
      <c r="A58" s="19">
        <v>5004</v>
      </c>
      <c r="B58" s="20" t="s">
        <v>132</v>
      </c>
      <c r="D58" s="20" t="s">
        <v>177</v>
      </c>
      <c r="E58" s="20" t="s">
        <v>37</v>
      </c>
      <c r="H58" s="20">
        <v>1</v>
      </c>
      <c r="I58" s="20">
        <v>100</v>
      </c>
      <c r="J58" s="20">
        <v>3</v>
      </c>
      <c r="K58" s="20">
        <v>6</v>
      </c>
      <c r="L58" s="20" t="s">
        <v>48</v>
      </c>
      <c r="M58" s="33" t="s">
        <v>214</v>
      </c>
    </row>
    <row r="59" spans="1:13">
      <c r="A59" s="19">
        <v>5005</v>
      </c>
      <c r="B59" s="20" t="s">
        <v>132</v>
      </c>
      <c r="D59" s="20" t="s">
        <v>178</v>
      </c>
      <c r="E59" s="20" t="s">
        <v>37</v>
      </c>
      <c r="H59" s="20">
        <v>1</v>
      </c>
      <c r="I59" s="20">
        <v>100</v>
      </c>
      <c r="J59" s="20">
        <v>3</v>
      </c>
      <c r="K59" s="20">
        <v>6</v>
      </c>
      <c r="L59" s="20" t="s">
        <v>48</v>
      </c>
      <c r="M59" s="33" t="s">
        <v>215</v>
      </c>
    </row>
    <row r="60" spans="1:13">
      <c r="A60" s="19">
        <v>5006</v>
      </c>
      <c r="B60" s="20" t="s">
        <v>132</v>
      </c>
      <c r="D60" s="20" t="s">
        <v>179</v>
      </c>
      <c r="E60" s="20" t="s">
        <v>37</v>
      </c>
      <c r="H60" s="20">
        <v>1</v>
      </c>
      <c r="I60" s="20">
        <v>100</v>
      </c>
      <c r="J60" s="20">
        <v>3</v>
      </c>
      <c r="K60" s="20">
        <v>6</v>
      </c>
      <c r="L60" s="20" t="s">
        <v>48</v>
      </c>
      <c r="M60" s="33" t="s">
        <v>216</v>
      </c>
    </row>
    <row r="61" spans="1:13">
      <c r="A61" s="19">
        <v>5007</v>
      </c>
      <c r="B61" s="20" t="s">
        <v>132</v>
      </c>
      <c r="D61" s="20" t="s">
        <v>180</v>
      </c>
      <c r="E61" s="20" t="s">
        <v>37</v>
      </c>
      <c r="H61" s="20">
        <v>1</v>
      </c>
      <c r="I61" s="20">
        <v>100</v>
      </c>
      <c r="J61" s="20">
        <v>3</v>
      </c>
      <c r="K61" s="20">
        <v>6</v>
      </c>
      <c r="L61" s="20" t="s">
        <v>48</v>
      </c>
      <c r="M61" s="33" t="s">
        <v>217</v>
      </c>
    </row>
    <row r="62" spans="1:13">
      <c r="A62" s="19">
        <v>5008</v>
      </c>
      <c r="B62" s="20" t="s">
        <v>132</v>
      </c>
      <c r="D62" s="20" t="s">
        <v>181</v>
      </c>
      <c r="E62" s="20" t="s">
        <v>37</v>
      </c>
      <c r="H62" s="20">
        <v>1</v>
      </c>
      <c r="I62" s="20">
        <v>100</v>
      </c>
      <c r="J62" s="20">
        <v>3</v>
      </c>
      <c r="K62" s="20">
        <v>6</v>
      </c>
      <c r="L62" s="20" t="s">
        <v>48</v>
      </c>
      <c r="M62" s="33" t="s">
        <v>218</v>
      </c>
    </row>
    <row r="63" spans="1:13">
      <c r="A63" s="19">
        <v>5009</v>
      </c>
      <c r="B63" s="20" t="s">
        <v>132</v>
      </c>
      <c r="D63" s="20" t="s">
        <v>220</v>
      </c>
      <c r="E63" s="20" t="s">
        <v>37</v>
      </c>
      <c r="H63" s="20">
        <v>1</v>
      </c>
      <c r="I63" s="20">
        <v>100</v>
      </c>
      <c r="J63" s="20">
        <v>3</v>
      </c>
      <c r="K63" s="20">
        <v>6</v>
      </c>
      <c r="L63" s="20" t="s">
        <v>48</v>
      </c>
      <c r="M63" s="33" t="s">
        <v>219</v>
      </c>
    </row>
    <row r="64" spans="1:13">
      <c r="A64" s="19">
        <v>5010</v>
      </c>
      <c r="B64" s="20" t="s">
        <v>132</v>
      </c>
      <c r="D64" s="20" t="s">
        <v>182</v>
      </c>
      <c r="E64" s="20" t="s">
        <v>37</v>
      </c>
      <c r="H64" s="20">
        <v>1</v>
      </c>
      <c r="I64" s="20">
        <v>100</v>
      </c>
      <c r="J64" s="20">
        <v>3</v>
      </c>
      <c r="K64" s="20">
        <v>6</v>
      </c>
      <c r="L64" s="20" t="s">
        <v>48</v>
      </c>
      <c r="M64" s="33" t="s">
        <v>225</v>
      </c>
    </row>
    <row r="65" spans="1:13">
      <c r="A65" s="19">
        <v>5011</v>
      </c>
      <c r="B65" s="20" t="s">
        <v>132</v>
      </c>
      <c r="D65" s="20" t="s">
        <v>184</v>
      </c>
      <c r="E65" s="20" t="s">
        <v>37</v>
      </c>
      <c r="H65" s="20">
        <v>1</v>
      </c>
      <c r="I65" s="20">
        <v>100</v>
      </c>
      <c r="J65" s="20">
        <v>3</v>
      </c>
      <c r="K65" s="20">
        <v>6</v>
      </c>
      <c r="L65" s="20" t="s">
        <v>48</v>
      </c>
      <c r="M65" s="33" t="s">
        <v>221</v>
      </c>
    </row>
    <row r="66" spans="1:13">
      <c r="A66" s="19">
        <v>5012</v>
      </c>
      <c r="B66" s="20" t="s">
        <v>132</v>
      </c>
      <c r="D66" s="20" t="s">
        <v>183</v>
      </c>
      <c r="E66" s="20" t="s">
        <v>37</v>
      </c>
      <c r="H66" s="20">
        <v>1</v>
      </c>
      <c r="I66" s="20">
        <v>100</v>
      </c>
      <c r="J66" s="20">
        <v>3</v>
      </c>
      <c r="K66" s="20">
        <v>6</v>
      </c>
      <c r="L66" s="20" t="s">
        <v>48</v>
      </c>
      <c r="M66" s="33" t="s">
        <v>222</v>
      </c>
    </row>
    <row r="67" spans="1:13">
      <c r="A67" s="19">
        <v>5013</v>
      </c>
      <c r="B67" s="20" t="s">
        <v>132</v>
      </c>
      <c r="D67" s="20" t="s">
        <v>185</v>
      </c>
      <c r="E67" s="20" t="s">
        <v>37</v>
      </c>
      <c r="H67" s="20">
        <v>1</v>
      </c>
      <c r="I67" s="20">
        <v>100</v>
      </c>
      <c r="J67" s="20">
        <v>3</v>
      </c>
      <c r="K67" s="20">
        <v>6</v>
      </c>
      <c r="L67" s="20" t="s">
        <v>48</v>
      </c>
      <c r="M67" s="33" t="s">
        <v>223</v>
      </c>
    </row>
    <row r="68" spans="1:13">
      <c r="A68" s="19">
        <v>5014</v>
      </c>
      <c r="B68" s="20" t="s">
        <v>132</v>
      </c>
      <c r="D68" s="20" t="s">
        <v>186</v>
      </c>
      <c r="E68" s="20" t="s">
        <v>37</v>
      </c>
      <c r="H68" s="20">
        <v>1</v>
      </c>
      <c r="I68" s="20">
        <v>100</v>
      </c>
      <c r="J68" s="20">
        <v>3</v>
      </c>
      <c r="K68" s="20">
        <v>6</v>
      </c>
      <c r="L68" s="20" t="s">
        <v>48</v>
      </c>
      <c r="M68" s="33" t="s">
        <v>224</v>
      </c>
    </row>
    <row r="69" spans="1:13">
      <c r="A69" s="19">
        <v>5015</v>
      </c>
      <c r="B69" s="20" t="s">
        <v>132</v>
      </c>
      <c r="D69" s="20" t="s">
        <v>187</v>
      </c>
      <c r="E69" s="20" t="s">
        <v>37</v>
      </c>
      <c r="H69" s="20">
        <v>1</v>
      </c>
      <c r="I69" s="20">
        <v>100</v>
      </c>
      <c r="J69" s="20">
        <v>3</v>
      </c>
      <c r="K69" s="20">
        <v>6</v>
      </c>
      <c r="L69" s="20" t="s">
        <v>48</v>
      </c>
      <c r="M69" s="33" t="s">
        <v>226</v>
      </c>
    </row>
    <row r="70" spans="1:13">
      <c r="A70" s="19">
        <v>5016</v>
      </c>
      <c r="B70" s="20" t="s">
        <v>132</v>
      </c>
      <c r="D70" s="20" t="s">
        <v>188</v>
      </c>
      <c r="E70" s="20" t="s">
        <v>37</v>
      </c>
      <c r="H70" s="20">
        <v>1</v>
      </c>
      <c r="I70" s="20">
        <v>100</v>
      </c>
      <c r="J70" s="20">
        <v>3</v>
      </c>
      <c r="K70" s="20">
        <v>6</v>
      </c>
      <c r="L70" s="20" t="s">
        <v>48</v>
      </c>
      <c r="M70" s="33" t="s">
        <v>227</v>
      </c>
    </row>
    <row r="71" spans="1:13">
      <c r="A71" s="19">
        <v>5017</v>
      </c>
      <c r="B71" s="20" t="s">
        <v>132</v>
      </c>
      <c r="D71" s="20" t="s">
        <v>189</v>
      </c>
      <c r="E71" s="20" t="s">
        <v>37</v>
      </c>
      <c r="H71" s="20">
        <v>1</v>
      </c>
      <c r="I71" s="20">
        <v>100</v>
      </c>
      <c r="J71" s="20">
        <v>3</v>
      </c>
      <c r="K71" s="20">
        <v>6</v>
      </c>
      <c r="L71" s="20" t="s">
        <v>48</v>
      </c>
      <c r="M71" s="33" t="s">
        <v>228</v>
      </c>
    </row>
    <row r="72" spans="1:13">
      <c r="A72" s="19">
        <v>5018</v>
      </c>
      <c r="B72" s="20" t="s">
        <v>132</v>
      </c>
      <c r="D72" s="20" t="s">
        <v>190</v>
      </c>
      <c r="E72" s="20" t="s">
        <v>37</v>
      </c>
      <c r="H72" s="20">
        <v>1</v>
      </c>
      <c r="I72" s="20">
        <v>100</v>
      </c>
      <c r="J72" s="20">
        <v>3</v>
      </c>
      <c r="K72" s="20">
        <v>6</v>
      </c>
      <c r="L72" s="20" t="s">
        <v>48</v>
      </c>
      <c r="M72" s="33" t="s">
        <v>210</v>
      </c>
    </row>
    <row r="73" spans="1:13">
      <c r="A73" s="19">
        <v>5019</v>
      </c>
      <c r="B73" s="20" t="s">
        <v>132</v>
      </c>
      <c r="D73" s="20" t="s">
        <v>191</v>
      </c>
      <c r="E73" s="20" t="s">
        <v>37</v>
      </c>
      <c r="H73" s="20">
        <v>1</v>
      </c>
      <c r="I73" s="20">
        <v>100</v>
      </c>
      <c r="J73" s="20">
        <v>3</v>
      </c>
      <c r="K73" s="20">
        <v>6</v>
      </c>
      <c r="L73" s="20" t="s">
        <v>48</v>
      </c>
      <c r="M73" s="33" t="s">
        <v>209</v>
      </c>
    </row>
  </sheetData>
  <autoFilter ref="A29:M29" xr:uid="{5153F5E9-82E2-4F43-8FDC-28D1B9285A4B}">
    <sortState xmlns:xlrd2="http://schemas.microsoft.com/office/spreadsheetml/2017/richdata2" ref="A30:M31">
      <sortCondition ref="A29:A31"/>
    </sortState>
  </autoFilter>
  <mergeCells count="4">
    <mergeCell ref="C26:F26"/>
    <mergeCell ref="C27:F27"/>
    <mergeCell ref="G26:H26"/>
    <mergeCell ref="G27:H27"/>
  </mergeCells>
  <phoneticPr fontId="1" type="noConversion"/>
  <dataValidations count="5">
    <dataValidation type="list" allowBlank="1" showInputMessage="1" showErrorMessage="1" sqref="B30:B1048576" xr:uid="{F6433DCF-7828-254C-BEB1-991A7D66E340}">
      <formula1>$A$2:$A$7</formula1>
    </dataValidation>
    <dataValidation type="list" allowBlank="1" showInputMessage="1" showErrorMessage="1" sqref="C30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ED446-00CA-2147-B3C8-86F1B3A448DC}">
  <sheetPr codeName="Sheet2"/>
  <dimension ref="A1:AJ20"/>
  <sheetViews>
    <sheetView workbookViewId="0">
      <pane ySplit="6" topLeftCell="A7" activePane="bottomLeft" state="frozen"/>
      <selection pane="bottomLeft" activeCell="Q20" sqref="Q20"/>
    </sheetView>
  </sheetViews>
  <sheetFormatPr baseColWidth="10" defaultColWidth="10.7109375" defaultRowHeight="15"/>
  <cols>
    <col min="1" max="1" width="7.7109375" style="19" customWidth="1"/>
    <col min="2" max="2" width="10.7109375" style="20"/>
    <col min="3" max="3" width="12.7109375" style="20" customWidth="1"/>
    <col min="4" max="4" width="8.42578125" style="20" customWidth="1"/>
    <col min="5" max="5" width="14.140625" style="20" customWidth="1"/>
    <col min="6" max="6" width="8.7109375" style="38" customWidth="1"/>
    <col min="7" max="11" width="8.7109375" style="39" customWidth="1"/>
    <col min="12" max="12" width="8.7109375" style="40" customWidth="1"/>
    <col min="13" max="13" width="8.7109375" style="38" customWidth="1"/>
    <col min="14" max="18" width="8.7109375" style="39" customWidth="1"/>
    <col min="19" max="19" width="8.7109375" style="40" customWidth="1"/>
    <col min="20" max="20" width="10.7109375" style="38" customWidth="1"/>
    <col min="21" max="21" width="10.7109375" style="39" customWidth="1"/>
    <col min="22" max="22" width="12.7109375" style="33" customWidth="1"/>
    <col min="23" max="23" width="5.7109375" style="38" customWidth="1"/>
    <col min="24" max="24" width="5.7109375" style="33" customWidth="1"/>
    <col min="25" max="25" width="9.7109375" style="49" customWidth="1"/>
    <col min="26" max="29" width="9.7109375" style="39" customWidth="1"/>
    <col min="30" max="30" width="9.7109375" style="33" customWidth="1"/>
    <col min="31" max="16384" width="10.7109375" style="20"/>
  </cols>
  <sheetData>
    <row r="1" spans="1:36" s="12" customFormat="1">
      <c r="A1" s="11"/>
      <c r="F1" s="13"/>
      <c r="G1" s="13"/>
      <c r="H1" s="13"/>
      <c r="I1" s="13"/>
      <c r="J1" s="13"/>
      <c r="K1" s="13"/>
      <c r="L1" s="45"/>
      <c r="M1" s="13"/>
      <c r="N1" s="13"/>
      <c r="O1" s="13"/>
      <c r="P1" s="13"/>
      <c r="Q1" s="13"/>
      <c r="R1" s="13"/>
      <c r="S1" s="45"/>
      <c r="T1" s="13"/>
      <c r="U1" s="13"/>
      <c r="V1" s="13"/>
      <c r="W1" s="13"/>
      <c r="X1" s="13"/>
    </row>
    <row r="2" spans="1:36" ht="16" thickBot="1">
      <c r="A2" s="11"/>
      <c r="B2" s="12"/>
      <c r="C2" s="12"/>
      <c r="D2" s="12"/>
      <c r="E2" s="12"/>
      <c r="F2" s="13"/>
      <c r="G2" s="13"/>
      <c r="H2" s="13"/>
      <c r="I2" s="13"/>
      <c r="J2" s="13"/>
      <c r="K2" s="13"/>
      <c r="L2" s="45"/>
      <c r="M2" s="13"/>
      <c r="N2" s="13"/>
      <c r="O2" s="13"/>
      <c r="P2" s="13"/>
      <c r="Q2" s="13"/>
      <c r="R2" s="13"/>
      <c r="S2" s="45"/>
      <c r="T2" s="13"/>
      <c r="U2" s="13"/>
      <c r="V2" s="13"/>
      <c r="W2" s="13"/>
      <c r="X2" s="13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</row>
    <row r="3" spans="1:36" ht="16" thickBot="1">
      <c r="A3" s="21" t="s">
        <v>96</v>
      </c>
      <c r="B3" s="12"/>
      <c r="C3" s="12"/>
      <c r="D3" s="12"/>
      <c r="E3" s="12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"/>
      <c r="U3" s="13"/>
      <c r="V3" s="13"/>
      <c r="W3" s="13"/>
      <c r="X3" s="13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</row>
    <row r="4" spans="1:36" ht="16" thickBot="1">
      <c r="A4" s="51">
        <f>COUNTA(A7:A109976)</f>
        <v>14</v>
      </c>
      <c r="B4" s="12"/>
      <c r="C4" s="12"/>
      <c r="D4" s="12"/>
      <c r="E4" s="12"/>
      <c r="F4" s="12"/>
      <c r="G4" s="12"/>
      <c r="H4" s="12"/>
      <c r="I4" s="12"/>
      <c r="J4" s="12"/>
      <c r="K4" s="12"/>
      <c r="L4" s="46"/>
      <c r="M4" s="12"/>
      <c r="N4" s="12"/>
      <c r="O4" s="12"/>
      <c r="P4" s="12"/>
      <c r="Q4" s="12"/>
      <c r="R4" s="12"/>
      <c r="S4" s="47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</row>
    <row r="5" spans="1:36" ht="16" thickBot="1">
      <c r="A5" s="12"/>
      <c r="B5" s="12"/>
      <c r="C5" s="12"/>
      <c r="D5" s="12"/>
      <c r="E5" s="12"/>
      <c r="F5" s="128" t="s">
        <v>61</v>
      </c>
      <c r="G5" s="129"/>
      <c r="H5" s="129"/>
      <c r="I5" s="129"/>
      <c r="J5" s="129"/>
      <c r="K5" s="129"/>
      <c r="L5" s="130"/>
      <c r="M5" s="128" t="s">
        <v>62</v>
      </c>
      <c r="N5" s="129"/>
      <c r="O5" s="129"/>
      <c r="P5" s="129"/>
      <c r="Q5" s="129"/>
      <c r="R5" s="129"/>
      <c r="S5" s="130"/>
      <c r="T5" s="128" t="s">
        <v>63</v>
      </c>
      <c r="U5" s="129"/>
      <c r="V5" s="130"/>
      <c r="W5" s="128" t="s">
        <v>109</v>
      </c>
      <c r="X5" s="130"/>
      <c r="Y5" s="128" t="s">
        <v>111</v>
      </c>
      <c r="Z5" s="129"/>
      <c r="AA5" s="129"/>
      <c r="AB5" s="129"/>
      <c r="AC5" s="129"/>
      <c r="AD5" s="130"/>
    </row>
    <row r="6" spans="1:36" ht="16" thickBot="1">
      <c r="A6" s="25" t="s">
        <v>0</v>
      </c>
      <c r="B6" s="21" t="s">
        <v>2</v>
      </c>
      <c r="C6" s="21" t="s">
        <v>51</v>
      </c>
      <c r="D6" s="21" t="s">
        <v>52</v>
      </c>
      <c r="E6" s="27" t="s">
        <v>53</v>
      </c>
      <c r="F6" s="41" t="s">
        <v>54</v>
      </c>
      <c r="G6" s="42" t="s">
        <v>55</v>
      </c>
      <c r="H6" s="42" t="s">
        <v>56</v>
      </c>
      <c r="I6" s="42" t="s">
        <v>57</v>
      </c>
      <c r="J6" s="42" t="s">
        <v>58</v>
      </c>
      <c r="K6" s="42" t="s">
        <v>113</v>
      </c>
      <c r="L6" s="43" t="s">
        <v>59</v>
      </c>
      <c r="M6" s="25" t="s">
        <v>97</v>
      </c>
      <c r="N6" s="26" t="s">
        <v>98</v>
      </c>
      <c r="O6" s="26" t="s">
        <v>99</v>
      </c>
      <c r="P6" s="26" t="s">
        <v>100</v>
      </c>
      <c r="Q6" s="26" t="s">
        <v>101</v>
      </c>
      <c r="R6" s="26" t="s">
        <v>112</v>
      </c>
      <c r="S6" s="44" t="s">
        <v>102</v>
      </c>
      <c r="T6" s="25" t="s">
        <v>39</v>
      </c>
      <c r="U6" s="26" t="s">
        <v>38</v>
      </c>
      <c r="V6" s="27" t="s">
        <v>60</v>
      </c>
      <c r="W6" s="25" t="s">
        <v>107</v>
      </c>
      <c r="X6" s="27" t="s">
        <v>108</v>
      </c>
      <c r="Y6" s="25" t="s">
        <v>103</v>
      </c>
      <c r="Z6" s="26" t="s">
        <v>104</v>
      </c>
      <c r="AA6" s="26" t="s">
        <v>105</v>
      </c>
      <c r="AB6" s="26" t="s">
        <v>253</v>
      </c>
      <c r="AC6" s="26" t="s">
        <v>106</v>
      </c>
      <c r="AD6" s="27" t="s">
        <v>110</v>
      </c>
    </row>
    <row r="7" spans="1:36">
      <c r="A7" s="19">
        <v>1</v>
      </c>
      <c r="B7" s="20" t="s">
        <v>68</v>
      </c>
      <c r="C7" s="20" t="s">
        <v>69</v>
      </c>
      <c r="D7" s="20" t="s">
        <v>64</v>
      </c>
      <c r="E7" s="20" t="s">
        <v>70</v>
      </c>
      <c r="F7" s="34">
        <v>200</v>
      </c>
      <c r="G7" s="35">
        <v>5</v>
      </c>
      <c r="H7" s="35">
        <v>5</v>
      </c>
      <c r="I7" s="35">
        <v>5</v>
      </c>
      <c r="J7" s="35">
        <v>5</v>
      </c>
      <c r="K7" s="35">
        <v>1</v>
      </c>
      <c r="L7" s="36">
        <v>0.1</v>
      </c>
      <c r="M7" s="34">
        <v>30</v>
      </c>
      <c r="N7" s="35">
        <v>0.5</v>
      </c>
      <c r="O7" s="35">
        <v>0.5</v>
      </c>
      <c r="P7" s="35">
        <v>0.5</v>
      </c>
      <c r="Q7" s="35">
        <v>0.5</v>
      </c>
      <c r="R7" s="35">
        <v>0.05</v>
      </c>
      <c r="S7" s="36">
        <v>0.04</v>
      </c>
      <c r="T7" s="34" t="s">
        <v>71</v>
      </c>
      <c r="U7" s="35" t="s">
        <v>71</v>
      </c>
      <c r="V7" s="37" t="s">
        <v>72</v>
      </c>
      <c r="W7" s="34">
        <v>0</v>
      </c>
      <c r="X7" s="37">
        <v>-48</v>
      </c>
      <c r="Y7" s="48">
        <v>2</v>
      </c>
      <c r="Z7" s="35">
        <v>8</v>
      </c>
      <c r="AA7" s="35">
        <v>10</v>
      </c>
      <c r="AB7" s="35"/>
      <c r="AC7" s="35"/>
      <c r="AD7" s="37">
        <v>1</v>
      </c>
    </row>
    <row r="8" spans="1:36">
      <c r="A8" s="19">
        <v>2</v>
      </c>
      <c r="B8" s="20" t="s">
        <v>73</v>
      </c>
      <c r="C8" s="20" t="s">
        <v>74</v>
      </c>
      <c r="D8" s="20" t="s">
        <v>65</v>
      </c>
      <c r="E8" s="20" t="s">
        <v>75</v>
      </c>
      <c r="F8" s="38">
        <v>250</v>
      </c>
      <c r="G8" s="39">
        <v>12</v>
      </c>
      <c r="H8" s="39">
        <v>5</v>
      </c>
      <c r="I8" s="39">
        <v>8</v>
      </c>
      <c r="J8" s="39">
        <v>8</v>
      </c>
      <c r="K8" s="39">
        <v>0.8</v>
      </c>
      <c r="L8" s="40">
        <v>0.1</v>
      </c>
      <c r="M8" s="38">
        <v>50</v>
      </c>
      <c r="N8" s="39">
        <v>0.7</v>
      </c>
      <c r="O8" s="39">
        <v>0.3</v>
      </c>
      <c r="P8" s="39">
        <v>0.4</v>
      </c>
      <c r="Q8" s="39">
        <v>0.6</v>
      </c>
      <c r="R8" s="39">
        <v>0.05</v>
      </c>
      <c r="S8" s="40">
        <v>0.04</v>
      </c>
      <c r="T8" s="38" t="s">
        <v>76</v>
      </c>
      <c r="U8" s="39" t="s">
        <v>77</v>
      </c>
      <c r="V8" s="33" t="s">
        <v>78</v>
      </c>
      <c r="W8" s="38">
        <v>0</v>
      </c>
      <c r="X8" s="33">
        <v>-48</v>
      </c>
      <c r="Y8" s="49">
        <v>1</v>
      </c>
      <c r="Z8" s="39">
        <v>8</v>
      </c>
      <c r="AA8" s="39">
        <v>10</v>
      </c>
      <c r="AB8" s="39">
        <v>7</v>
      </c>
    </row>
    <row r="9" spans="1:36">
      <c r="A9" s="19">
        <v>3</v>
      </c>
      <c r="B9" s="20" t="s">
        <v>79</v>
      </c>
      <c r="C9" s="20" t="s">
        <v>80</v>
      </c>
      <c r="D9" s="20" t="s">
        <v>67</v>
      </c>
      <c r="E9" s="20" t="s">
        <v>81</v>
      </c>
      <c r="F9" s="38">
        <v>130</v>
      </c>
      <c r="G9" s="39">
        <v>4</v>
      </c>
      <c r="H9" s="39">
        <v>12</v>
      </c>
      <c r="I9" s="39">
        <v>6</v>
      </c>
      <c r="J9" s="39">
        <v>6</v>
      </c>
      <c r="K9" s="39">
        <v>0.8</v>
      </c>
      <c r="L9" s="40">
        <v>0.1</v>
      </c>
      <c r="M9" s="38">
        <v>25</v>
      </c>
      <c r="N9" s="39">
        <v>0.2</v>
      </c>
      <c r="O9" s="39">
        <v>0.7</v>
      </c>
      <c r="P9" s="39">
        <v>0.3</v>
      </c>
      <c r="Q9" s="39">
        <v>0.3</v>
      </c>
      <c r="R9" s="39">
        <v>0.05</v>
      </c>
      <c r="S9" s="40">
        <v>0.04</v>
      </c>
      <c r="T9" s="38" t="s">
        <v>82</v>
      </c>
      <c r="U9" s="39" t="s">
        <v>83</v>
      </c>
      <c r="V9" s="33" t="s">
        <v>84</v>
      </c>
      <c r="W9" s="38">
        <v>0</v>
      </c>
      <c r="X9" s="33">
        <v>-48</v>
      </c>
      <c r="Y9" s="49">
        <v>1</v>
      </c>
      <c r="Z9" s="39">
        <v>8</v>
      </c>
      <c r="AA9" s="39">
        <v>7</v>
      </c>
      <c r="AC9" s="39">
        <v>7</v>
      </c>
    </row>
    <row r="10" spans="1:36">
      <c r="A10" s="19">
        <v>4</v>
      </c>
      <c r="B10" s="20" t="s">
        <v>85</v>
      </c>
      <c r="C10" s="20" t="s">
        <v>86</v>
      </c>
      <c r="D10" s="20" t="s">
        <v>50</v>
      </c>
      <c r="E10" s="20" t="s">
        <v>87</v>
      </c>
      <c r="F10" s="38">
        <v>160</v>
      </c>
      <c r="G10" s="39">
        <v>8</v>
      </c>
      <c r="H10" s="39">
        <v>6</v>
      </c>
      <c r="I10" s="39">
        <v>15</v>
      </c>
      <c r="J10" s="39">
        <v>6</v>
      </c>
      <c r="K10" s="39">
        <v>1.2</v>
      </c>
      <c r="L10" s="40">
        <v>0.1</v>
      </c>
      <c r="M10" s="38">
        <v>35</v>
      </c>
      <c r="N10" s="39">
        <v>0.7</v>
      </c>
      <c r="O10" s="39">
        <v>0.5</v>
      </c>
      <c r="P10" s="39">
        <v>0.8</v>
      </c>
      <c r="Q10" s="39">
        <v>0.5</v>
      </c>
      <c r="R10" s="39">
        <v>0.05</v>
      </c>
      <c r="S10" s="40">
        <v>0.04</v>
      </c>
      <c r="T10" s="38" t="s">
        <v>254</v>
      </c>
      <c r="U10" s="39" t="s">
        <v>88</v>
      </c>
      <c r="V10" s="33" t="s">
        <v>89</v>
      </c>
      <c r="W10" s="38">
        <v>0</v>
      </c>
      <c r="X10" s="33">
        <v>-48</v>
      </c>
      <c r="Y10" s="49">
        <v>1</v>
      </c>
      <c r="Z10" s="39">
        <v>8</v>
      </c>
      <c r="AA10" s="39">
        <v>8</v>
      </c>
    </row>
    <row r="11" spans="1:36">
      <c r="A11" s="19">
        <v>5</v>
      </c>
      <c r="B11" s="20" t="s">
        <v>90</v>
      </c>
      <c r="C11" s="20" t="s">
        <v>91</v>
      </c>
      <c r="D11" s="20" t="s">
        <v>66</v>
      </c>
      <c r="E11" s="20" t="s">
        <v>92</v>
      </c>
      <c r="F11" s="38">
        <v>130</v>
      </c>
      <c r="G11" s="39">
        <v>5</v>
      </c>
      <c r="H11" s="39">
        <v>15</v>
      </c>
      <c r="I11" s="39">
        <v>5</v>
      </c>
      <c r="J11" s="39">
        <v>5</v>
      </c>
      <c r="K11" s="39">
        <v>0.8</v>
      </c>
      <c r="L11" s="40">
        <v>0.1</v>
      </c>
      <c r="M11" s="38">
        <v>25</v>
      </c>
      <c r="N11" s="39">
        <v>0.2</v>
      </c>
      <c r="O11" s="39">
        <v>0.75</v>
      </c>
      <c r="P11" s="39">
        <v>0.4</v>
      </c>
      <c r="Q11" s="39">
        <v>0.3</v>
      </c>
      <c r="R11" s="39">
        <v>0.05</v>
      </c>
      <c r="S11" s="40">
        <v>0.04</v>
      </c>
      <c r="T11" s="38" t="s">
        <v>93</v>
      </c>
      <c r="U11" s="39" t="s">
        <v>94</v>
      </c>
      <c r="V11" s="33" t="s">
        <v>95</v>
      </c>
      <c r="W11" s="38">
        <v>0</v>
      </c>
      <c r="X11" s="33">
        <v>-48</v>
      </c>
      <c r="Y11" s="49">
        <v>1</v>
      </c>
      <c r="Z11" s="39">
        <v>8</v>
      </c>
      <c r="AA11" s="39">
        <v>7</v>
      </c>
    </row>
    <row r="12" spans="1:36">
      <c r="A12" s="19">
        <v>6</v>
      </c>
      <c r="B12" s="20" t="s">
        <v>261</v>
      </c>
      <c r="C12" s="20" t="s">
        <v>262</v>
      </c>
      <c r="D12" s="20" t="s">
        <v>255</v>
      </c>
      <c r="E12" s="20" t="s">
        <v>92</v>
      </c>
      <c r="F12" s="38">
        <v>160</v>
      </c>
      <c r="G12" s="39">
        <v>9</v>
      </c>
      <c r="H12" s="39">
        <v>5</v>
      </c>
      <c r="I12" s="39">
        <v>14</v>
      </c>
      <c r="J12" s="39">
        <v>8</v>
      </c>
      <c r="K12" s="39">
        <v>1.2</v>
      </c>
      <c r="L12" s="40">
        <v>0.1</v>
      </c>
      <c r="M12" s="38">
        <v>40</v>
      </c>
      <c r="N12" s="39">
        <v>0.6</v>
      </c>
      <c r="O12" s="39">
        <v>0.4</v>
      </c>
      <c r="P12" s="39">
        <v>0.8</v>
      </c>
      <c r="Q12" s="39">
        <v>0.6</v>
      </c>
      <c r="R12" s="39">
        <v>0.05</v>
      </c>
      <c r="S12" s="40">
        <v>0.04</v>
      </c>
      <c r="T12" s="38" t="s">
        <v>76</v>
      </c>
      <c r="U12" s="39" t="s">
        <v>263</v>
      </c>
      <c r="V12" s="33" t="s">
        <v>76</v>
      </c>
      <c r="W12" s="38">
        <v>0</v>
      </c>
      <c r="X12" s="33">
        <v>-48</v>
      </c>
      <c r="Y12" s="49">
        <v>1</v>
      </c>
      <c r="Z12" s="39">
        <v>8</v>
      </c>
      <c r="AA12" s="39">
        <v>10</v>
      </c>
    </row>
    <row r="13" spans="1:36">
      <c r="A13" s="114">
        <v>10001</v>
      </c>
      <c r="B13" s="115" t="s">
        <v>115</v>
      </c>
      <c r="C13" s="115" t="s">
        <v>117</v>
      </c>
      <c r="D13" s="115" t="s">
        <v>65</v>
      </c>
      <c r="E13" s="115"/>
      <c r="F13" s="108">
        <v>150</v>
      </c>
      <c r="G13" s="109">
        <v>4</v>
      </c>
      <c r="H13" s="109">
        <v>4</v>
      </c>
      <c r="I13" s="109">
        <v>4</v>
      </c>
      <c r="J13" s="109">
        <v>8</v>
      </c>
      <c r="K13" s="109">
        <v>1</v>
      </c>
      <c r="L13" s="116">
        <v>0.05</v>
      </c>
      <c r="M13" s="108">
        <v>60</v>
      </c>
      <c r="N13" s="109">
        <v>1.2</v>
      </c>
      <c r="O13" s="109">
        <v>1.2</v>
      </c>
      <c r="P13" s="109">
        <v>0.5</v>
      </c>
      <c r="Q13" s="109">
        <v>3</v>
      </c>
      <c r="R13" s="109">
        <v>0.05</v>
      </c>
      <c r="S13" s="116">
        <v>0.03</v>
      </c>
      <c r="T13" s="108" t="s">
        <v>76</v>
      </c>
      <c r="U13" s="109" t="s">
        <v>76</v>
      </c>
      <c r="V13" s="110"/>
      <c r="W13" s="108">
        <v>0</v>
      </c>
      <c r="X13" s="110">
        <v>-48</v>
      </c>
      <c r="Y13" s="108">
        <v>1</v>
      </c>
      <c r="Z13" s="109">
        <v>8</v>
      </c>
      <c r="AA13" s="109">
        <v>10</v>
      </c>
      <c r="AB13" s="109"/>
      <c r="AC13" s="109"/>
      <c r="AD13" s="110"/>
    </row>
    <row r="14" spans="1:36">
      <c r="A14" s="19">
        <v>10002</v>
      </c>
      <c r="B14" s="20" t="s">
        <v>116</v>
      </c>
      <c r="C14" s="20" t="s">
        <v>118</v>
      </c>
      <c r="D14" s="20" t="s">
        <v>65</v>
      </c>
      <c r="F14" s="38">
        <v>150</v>
      </c>
      <c r="G14" s="39">
        <v>4</v>
      </c>
      <c r="H14" s="39">
        <v>4</v>
      </c>
      <c r="I14" s="39">
        <v>4</v>
      </c>
      <c r="J14" s="39">
        <v>8</v>
      </c>
      <c r="K14" s="39">
        <v>1</v>
      </c>
      <c r="L14" s="40">
        <v>0.05</v>
      </c>
      <c r="M14" s="38">
        <v>60</v>
      </c>
      <c r="N14" s="39">
        <v>1.2</v>
      </c>
      <c r="O14" s="39">
        <v>1.2</v>
      </c>
      <c r="P14" s="39">
        <v>0.5</v>
      </c>
      <c r="Q14" s="39">
        <v>3</v>
      </c>
      <c r="R14" s="39">
        <v>0.05</v>
      </c>
      <c r="S14" s="40">
        <v>0.03</v>
      </c>
      <c r="T14" s="38" t="s">
        <v>76</v>
      </c>
      <c r="U14" s="39" t="s">
        <v>76</v>
      </c>
      <c r="W14" s="38">
        <v>0</v>
      </c>
      <c r="X14" s="33">
        <v>-48</v>
      </c>
      <c r="Y14" s="49">
        <v>1</v>
      </c>
      <c r="Z14" s="39">
        <v>8</v>
      </c>
      <c r="AA14" s="39">
        <v>10</v>
      </c>
    </row>
    <row r="15" spans="1:36">
      <c r="A15" s="19">
        <v>10003</v>
      </c>
      <c r="B15" s="20" t="s">
        <v>119</v>
      </c>
      <c r="C15" s="20" t="s">
        <v>120</v>
      </c>
      <c r="D15" s="20" t="s">
        <v>65</v>
      </c>
      <c r="F15" s="38">
        <v>150</v>
      </c>
      <c r="G15" s="39">
        <v>4</v>
      </c>
      <c r="H15" s="39">
        <v>4</v>
      </c>
      <c r="I15" s="39">
        <v>4</v>
      </c>
      <c r="J15" s="39">
        <v>8</v>
      </c>
      <c r="K15" s="39">
        <v>1</v>
      </c>
      <c r="L15" s="40">
        <v>0.05</v>
      </c>
      <c r="M15" s="38">
        <v>60</v>
      </c>
      <c r="N15" s="39">
        <v>1.2</v>
      </c>
      <c r="O15" s="39">
        <v>1.2</v>
      </c>
      <c r="P15" s="39">
        <v>0.5</v>
      </c>
      <c r="Q15" s="39">
        <v>3</v>
      </c>
      <c r="R15" s="39">
        <v>0.05</v>
      </c>
      <c r="S15" s="40">
        <v>0.03</v>
      </c>
      <c r="T15" s="38" t="s">
        <v>76</v>
      </c>
      <c r="U15" s="39" t="s">
        <v>76</v>
      </c>
      <c r="W15" s="38">
        <v>0</v>
      </c>
      <c r="X15" s="33">
        <v>-48</v>
      </c>
      <c r="Y15" s="49">
        <v>1</v>
      </c>
      <c r="Z15" s="39">
        <v>8</v>
      </c>
      <c r="AA15" s="39">
        <v>10</v>
      </c>
    </row>
    <row r="16" spans="1:36">
      <c r="A16" s="19">
        <v>10004</v>
      </c>
      <c r="B16" s="20" t="s">
        <v>130</v>
      </c>
      <c r="C16" s="20" t="s">
        <v>131</v>
      </c>
      <c r="D16" s="20" t="s">
        <v>65</v>
      </c>
      <c r="F16" s="38">
        <v>150</v>
      </c>
      <c r="G16" s="39">
        <v>4</v>
      </c>
      <c r="H16" s="39">
        <v>4</v>
      </c>
      <c r="I16" s="39">
        <v>4</v>
      </c>
      <c r="J16" s="39">
        <v>8</v>
      </c>
      <c r="K16" s="39">
        <v>1</v>
      </c>
      <c r="L16" s="40">
        <v>0.05</v>
      </c>
      <c r="M16" s="38">
        <v>60</v>
      </c>
      <c r="N16" s="39">
        <v>1.2</v>
      </c>
      <c r="O16" s="39">
        <v>1.2</v>
      </c>
      <c r="P16" s="39">
        <v>0.5</v>
      </c>
      <c r="Q16" s="39">
        <v>3</v>
      </c>
      <c r="R16" s="39">
        <v>0.05</v>
      </c>
      <c r="S16" s="40">
        <v>0.03</v>
      </c>
      <c r="T16" s="38" t="s">
        <v>76</v>
      </c>
      <c r="U16" s="39" t="s">
        <v>76</v>
      </c>
      <c r="W16" s="38">
        <v>0</v>
      </c>
      <c r="X16" s="33">
        <v>-48</v>
      </c>
      <c r="Y16" s="49">
        <v>1</v>
      </c>
      <c r="Z16" s="39">
        <v>8</v>
      </c>
      <c r="AA16" s="39">
        <v>10</v>
      </c>
    </row>
    <row r="17" spans="1:27">
      <c r="A17" s="19">
        <v>10005</v>
      </c>
      <c r="B17" s="20" t="s">
        <v>128</v>
      </c>
      <c r="C17" s="20" t="s">
        <v>129</v>
      </c>
      <c r="D17" s="20" t="s">
        <v>65</v>
      </c>
      <c r="F17" s="38">
        <v>150</v>
      </c>
      <c r="G17" s="39">
        <v>4</v>
      </c>
      <c r="H17" s="39">
        <v>4</v>
      </c>
      <c r="I17" s="39">
        <v>4</v>
      </c>
      <c r="J17" s="39">
        <v>8</v>
      </c>
      <c r="K17" s="39">
        <v>1</v>
      </c>
      <c r="L17" s="40">
        <v>0.05</v>
      </c>
      <c r="M17" s="38">
        <v>60</v>
      </c>
      <c r="N17" s="39">
        <v>1.2</v>
      </c>
      <c r="O17" s="39">
        <v>1.2</v>
      </c>
      <c r="P17" s="39">
        <v>0.5</v>
      </c>
      <c r="Q17" s="39">
        <v>3</v>
      </c>
      <c r="R17" s="39">
        <v>0.05</v>
      </c>
      <c r="S17" s="40">
        <v>0.03</v>
      </c>
      <c r="T17" s="38" t="s">
        <v>76</v>
      </c>
      <c r="U17" s="39" t="s">
        <v>76</v>
      </c>
      <c r="W17" s="38">
        <v>0</v>
      </c>
      <c r="X17" s="33">
        <v>-48</v>
      </c>
      <c r="Y17" s="49">
        <v>1</v>
      </c>
      <c r="Z17" s="39">
        <v>8</v>
      </c>
      <c r="AA17" s="39">
        <v>10</v>
      </c>
    </row>
    <row r="18" spans="1:27">
      <c r="A18" s="19">
        <v>10006</v>
      </c>
      <c r="B18" s="20" t="s">
        <v>126</v>
      </c>
      <c r="C18" s="20" t="s">
        <v>127</v>
      </c>
      <c r="D18" s="20" t="s">
        <v>65</v>
      </c>
      <c r="F18" s="38">
        <v>150</v>
      </c>
      <c r="G18" s="39">
        <v>4</v>
      </c>
      <c r="H18" s="39">
        <v>4</v>
      </c>
      <c r="I18" s="39">
        <v>4</v>
      </c>
      <c r="J18" s="39">
        <v>8</v>
      </c>
      <c r="K18" s="39">
        <v>1</v>
      </c>
      <c r="L18" s="40">
        <v>0.05</v>
      </c>
      <c r="M18" s="38">
        <v>60</v>
      </c>
      <c r="N18" s="39">
        <v>1.2</v>
      </c>
      <c r="O18" s="39">
        <v>1.2</v>
      </c>
      <c r="P18" s="39">
        <v>0.5</v>
      </c>
      <c r="Q18" s="39">
        <v>3</v>
      </c>
      <c r="R18" s="39">
        <v>0.05</v>
      </c>
      <c r="S18" s="40">
        <v>0.03</v>
      </c>
      <c r="T18" s="38" t="s">
        <v>76</v>
      </c>
      <c r="U18" s="39" t="s">
        <v>76</v>
      </c>
      <c r="W18" s="38">
        <v>0</v>
      </c>
      <c r="X18" s="33">
        <v>-48</v>
      </c>
      <c r="Y18" s="49">
        <v>1</v>
      </c>
      <c r="Z18" s="39">
        <v>8</v>
      </c>
      <c r="AA18" s="39">
        <v>10</v>
      </c>
    </row>
    <row r="19" spans="1:27">
      <c r="A19" s="19">
        <v>10007</v>
      </c>
      <c r="B19" s="20" t="s">
        <v>124</v>
      </c>
      <c r="C19" s="20" t="s">
        <v>125</v>
      </c>
      <c r="D19" s="20" t="s">
        <v>66</v>
      </c>
      <c r="F19" s="38">
        <v>150</v>
      </c>
      <c r="G19" s="39">
        <v>4</v>
      </c>
      <c r="H19" s="39">
        <v>4</v>
      </c>
      <c r="I19" s="39">
        <v>4</v>
      </c>
      <c r="J19" s="39">
        <v>8</v>
      </c>
      <c r="K19" s="39">
        <v>1</v>
      </c>
      <c r="L19" s="40">
        <v>0.05</v>
      </c>
      <c r="M19" s="38">
        <v>60</v>
      </c>
      <c r="N19" s="39">
        <v>1.2</v>
      </c>
      <c r="O19" s="39">
        <v>1.2</v>
      </c>
      <c r="P19" s="39">
        <v>0.5</v>
      </c>
      <c r="Q19" s="39">
        <v>3</v>
      </c>
      <c r="R19" s="39">
        <v>0.05</v>
      </c>
      <c r="S19" s="40">
        <v>0.03</v>
      </c>
      <c r="T19" s="38" t="s">
        <v>76</v>
      </c>
      <c r="U19" s="39" t="s">
        <v>76</v>
      </c>
      <c r="W19" s="38">
        <v>0</v>
      </c>
      <c r="X19" s="33">
        <v>-48</v>
      </c>
      <c r="Y19" s="49">
        <v>1</v>
      </c>
      <c r="Z19" s="39">
        <v>8</v>
      </c>
      <c r="AA19" s="39">
        <v>10</v>
      </c>
    </row>
    <row r="20" spans="1:27">
      <c r="A20" s="19">
        <v>10008</v>
      </c>
      <c r="B20" s="20" t="s">
        <v>122</v>
      </c>
      <c r="C20" s="20" t="s">
        <v>123</v>
      </c>
      <c r="D20" s="20" t="s">
        <v>66</v>
      </c>
      <c r="F20" s="38">
        <v>150</v>
      </c>
      <c r="G20" s="39">
        <v>7</v>
      </c>
      <c r="H20" s="39">
        <v>4</v>
      </c>
      <c r="I20" s="39">
        <v>4</v>
      </c>
      <c r="J20" s="39">
        <v>4</v>
      </c>
      <c r="K20" s="39">
        <v>1</v>
      </c>
      <c r="L20" s="40">
        <v>0.08</v>
      </c>
      <c r="M20" s="38">
        <v>60</v>
      </c>
      <c r="N20" s="39">
        <v>1.4</v>
      </c>
      <c r="O20" s="39">
        <v>1.4</v>
      </c>
      <c r="P20" s="39">
        <v>1.4</v>
      </c>
      <c r="Q20" s="39">
        <v>1.4</v>
      </c>
      <c r="R20" s="39">
        <v>0.05</v>
      </c>
      <c r="S20" s="40">
        <v>0.02</v>
      </c>
      <c r="T20" s="38" t="s">
        <v>76</v>
      </c>
      <c r="U20" s="39" t="s">
        <v>76</v>
      </c>
      <c r="V20" s="33" t="s">
        <v>121</v>
      </c>
      <c r="W20" s="38">
        <v>-140</v>
      </c>
      <c r="X20" s="33">
        <v>-258</v>
      </c>
      <c r="Y20" s="49">
        <v>7</v>
      </c>
      <c r="Z20" s="39">
        <v>7</v>
      </c>
      <c r="AA20" s="39">
        <v>9</v>
      </c>
    </row>
  </sheetData>
  <autoFilter ref="A6:AD6" xr:uid="{203D1E33-32BA-DD44-8C8F-02E159E4C9BE}">
    <sortState xmlns:xlrd2="http://schemas.microsoft.com/office/spreadsheetml/2017/richdata2" ref="A7:AD20">
      <sortCondition ref="A6:A20"/>
    </sortState>
  </autoFilter>
  <mergeCells count="6">
    <mergeCell ref="Y5:AD5"/>
    <mergeCell ref="F3:S3"/>
    <mergeCell ref="F5:L5"/>
    <mergeCell ref="M5:S5"/>
    <mergeCell ref="T5:V5"/>
    <mergeCell ref="W5:X5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Character_Export">
                <anchor moveWithCells="1" sizeWithCells="1">
                  <from>
                    <xdr:col>17</xdr:col>
                    <xdr:colOff>114300</xdr:colOff>
                    <xdr:row>0</xdr:row>
                    <xdr:rowOff>139700</xdr:rowOff>
                  </from>
                  <to>
                    <xdr:col>20</xdr:col>
                    <xdr:colOff>939800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0D4EEE-3F74-F742-AE68-6E8072AE1D54}">
          <x14:formula1>
            <xm:f>Items!$D$2:$D$6</xm:f>
          </x14:formula1>
          <xm:sqref>D7:D1048576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C7EC0-4B47-1146-8395-F6E97836C909}">
  <sheetPr codeName="Sheet3"/>
  <dimension ref="A1:BC154"/>
  <sheetViews>
    <sheetView tabSelected="1" topLeftCell="S1" zoomScale="75" zoomScaleNormal="75" workbookViewId="0">
      <selection activeCell="BD22" sqref="BD22"/>
    </sheetView>
  </sheetViews>
  <sheetFormatPr baseColWidth="10" defaultRowHeight="15"/>
  <cols>
    <col min="1" max="1" width="5.140625" style="52" customWidth="1"/>
    <col min="2" max="2" width="8.140625" style="52" customWidth="1"/>
    <col min="3" max="3" width="8.5703125" style="52" customWidth="1"/>
    <col min="4" max="10" width="10.7109375" style="52"/>
    <col min="11" max="12" width="7.85546875" style="52" customWidth="1"/>
    <col min="13" max="33" width="6.7109375" style="53" customWidth="1"/>
    <col min="34" max="34" width="4.5703125" style="52" customWidth="1"/>
    <col min="35" max="35" width="3.7109375" style="52" customWidth="1"/>
    <col min="36" max="36" width="10.7109375" style="52" customWidth="1"/>
    <col min="37" max="37" width="10.7109375" style="52"/>
    <col min="38" max="55" width="5.7109375" style="20" customWidth="1"/>
    <col min="56" max="16384" width="10.7109375" style="52"/>
  </cols>
  <sheetData>
    <row r="1" spans="1:55" ht="16" thickBot="1">
      <c r="AK1" s="58" t="s">
        <v>284</v>
      </c>
      <c r="AM1" s="133" t="s">
        <v>285</v>
      </c>
      <c r="AN1" s="134"/>
      <c r="AO1" s="134"/>
      <c r="AP1" s="134"/>
      <c r="AQ1" s="134"/>
      <c r="AR1" s="134"/>
      <c r="AS1" s="134"/>
      <c r="AT1" s="134"/>
      <c r="AU1" s="134"/>
      <c r="AV1" s="134"/>
      <c r="AW1" s="134"/>
      <c r="AX1" s="134"/>
      <c r="AY1" s="134"/>
      <c r="AZ1" s="134"/>
      <c r="BA1" s="134"/>
      <c r="BB1" s="134"/>
      <c r="BC1" s="134"/>
    </row>
    <row r="2" spans="1:55" ht="16" thickBot="1">
      <c r="B2" s="57" t="s">
        <v>264</v>
      </c>
      <c r="C2" s="58" t="s">
        <v>265</v>
      </c>
      <c r="D2" s="59" t="s">
        <v>266</v>
      </c>
      <c r="M2" s="85"/>
      <c r="T2" s="85"/>
      <c r="AA2" s="85"/>
      <c r="AJ2" s="98" t="s">
        <v>55</v>
      </c>
      <c r="AK2" s="101"/>
      <c r="AL2" s="97"/>
      <c r="AM2" s="134"/>
      <c r="AN2" s="134"/>
      <c r="AO2" s="134"/>
      <c r="AP2" s="134"/>
      <c r="AQ2" s="134"/>
      <c r="AR2" s="134"/>
      <c r="AS2" s="134"/>
      <c r="AT2" s="134"/>
      <c r="AU2" s="134"/>
      <c r="AV2" s="134"/>
      <c r="AW2" s="134"/>
      <c r="AX2" s="134"/>
      <c r="AY2" s="134"/>
      <c r="AZ2" s="134"/>
      <c r="BA2" s="134"/>
      <c r="BB2" s="134"/>
      <c r="BC2" s="134"/>
    </row>
    <row r="3" spans="1:55" ht="16" thickBot="1">
      <c r="B3" s="54">
        <v>0.15</v>
      </c>
      <c r="C3" s="55">
        <v>0.4</v>
      </c>
      <c r="D3" s="56">
        <v>1.5</v>
      </c>
      <c r="M3" s="85"/>
      <c r="T3" s="85"/>
      <c r="AA3" s="85"/>
      <c r="AJ3" s="99" t="s">
        <v>57</v>
      </c>
      <c r="AK3" s="101"/>
      <c r="AL3" s="97"/>
      <c r="AM3" s="134"/>
      <c r="AN3" s="134"/>
      <c r="AO3" s="134"/>
      <c r="AP3" s="134"/>
      <c r="AQ3" s="134"/>
      <c r="AR3" s="134"/>
      <c r="AS3" s="134"/>
      <c r="AT3" s="134"/>
      <c r="AU3" s="134"/>
      <c r="AV3" s="134"/>
      <c r="AW3" s="134"/>
      <c r="AX3" s="134"/>
      <c r="AY3" s="134"/>
      <c r="AZ3" s="134"/>
      <c r="BA3" s="134"/>
      <c r="BB3" s="134"/>
      <c r="BC3" s="134"/>
    </row>
    <row r="4" spans="1:55">
      <c r="AJ4" s="99" t="s">
        <v>58</v>
      </c>
      <c r="AK4" s="101">
        <v>36</v>
      </c>
      <c r="AM4" s="134"/>
      <c r="AN4" s="134"/>
      <c r="AO4" s="134"/>
      <c r="AP4" s="134"/>
      <c r="AQ4" s="134"/>
      <c r="AR4" s="134"/>
      <c r="AS4" s="134"/>
      <c r="AT4" s="134"/>
      <c r="AU4" s="134"/>
      <c r="AV4" s="134"/>
      <c r="AW4" s="134"/>
      <c r="AX4" s="134"/>
      <c r="AY4" s="134"/>
      <c r="AZ4" s="134"/>
      <c r="BA4" s="134"/>
      <c r="BB4" s="134"/>
      <c r="BC4" s="134"/>
    </row>
    <row r="5" spans="1:55" ht="16" thickBot="1">
      <c r="L5" s="91"/>
      <c r="AJ5" s="100" t="s">
        <v>283</v>
      </c>
      <c r="AK5" s="61">
        <v>4200</v>
      </c>
    </row>
    <row r="6" spans="1:55" ht="16" thickBot="1">
      <c r="K6" s="58" t="s">
        <v>280</v>
      </c>
      <c r="L6" s="132"/>
      <c r="M6" s="137" t="s">
        <v>54</v>
      </c>
      <c r="N6" s="138"/>
      <c r="O6" s="138"/>
      <c r="P6" s="138"/>
      <c r="Q6" s="138"/>
      <c r="R6" s="138"/>
      <c r="S6" s="139"/>
      <c r="T6" s="137" t="s">
        <v>18</v>
      </c>
      <c r="U6" s="138"/>
      <c r="V6" s="138"/>
      <c r="W6" s="138"/>
      <c r="X6" s="138"/>
      <c r="Y6" s="138"/>
      <c r="Z6" s="139"/>
      <c r="AA6" s="137" t="s">
        <v>282</v>
      </c>
      <c r="AB6" s="138"/>
      <c r="AC6" s="138"/>
      <c r="AD6" s="138"/>
      <c r="AE6" s="138"/>
      <c r="AF6" s="138"/>
      <c r="AG6" s="139"/>
      <c r="AI6" s="137" t="s">
        <v>281</v>
      </c>
      <c r="AJ6" s="138"/>
      <c r="AK6" s="139"/>
      <c r="AL6" s="140" t="s">
        <v>54</v>
      </c>
      <c r="AM6" s="141"/>
      <c r="AN6" s="141"/>
      <c r="AO6" s="141"/>
      <c r="AP6" s="141"/>
      <c r="AQ6" s="142"/>
      <c r="AR6" s="140" t="s">
        <v>18</v>
      </c>
      <c r="AS6" s="141"/>
      <c r="AT6" s="141"/>
      <c r="AU6" s="141"/>
      <c r="AV6" s="141"/>
      <c r="AW6" s="142"/>
      <c r="AX6" s="140" t="s">
        <v>282</v>
      </c>
      <c r="AY6" s="141"/>
      <c r="AZ6" s="141"/>
      <c r="BA6" s="141"/>
      <c r="BB6" s="141"/>
      <c r="BC6" s="142"/>
    </row>
    <row r="7" spans="1:55" ht="19" customHeight="1" thickBot="1">
      <c r="A7" s="57" t="s">
        <v>267</v>
      </c>
      <c r="B7" s="57" t="s">
        <v>268</v>
      </c>
      <c r="C7" s="57" t="s">
        <v>269</v>
      </c>
      <c r="D7" s="57" t="s">
        <v>270</v>
      </c>
      <c r="E7" s="57" t="s">
        <v>271</v>
      </c>
      <c r="F7" s="58" t="s">
        <v>272</v>
      </c>
      <c r="G7" s="59" t="s">
        <v>273</v>
      </c>
      <c r="H7" s="59" t="s">
        <v>274</v>
      </c>
      <c r="I7" s="59" t="s">
        <v>275</v>
      </c>
      <c r="J7" s="60" t="s">
        <v>276</v>
      </c>
      <c r="K7" s="61" t="s">
        <v>277</v>
      </c>
      <c r="L7" s="132"/>
      <c r="M7" s="58" t="s">
        <v>117</v>
      </c>
      <c r="N7" s="58" t="s">
        <v>118</v>
      </c>
      <c r="O7" s="57" t="s">
        <v>120</v>
      </c>
      <c r="P7" s="57" t="s">
        <v>131</v>
      </c>
      <c r="Q7" s="58" t="s">
        <v>129</v>
      </c>
      <c r="R7" s="59" t="s">
        <v>127</v>
      </c>
      <c r="S7" s="59" t="s">
        <v>125</v>
      </c>
      <c r="T7" s="58" t="s">
        <v>117</v>
      </c>
      <c r="U7" s="58" t="s">
        <v>118</v>
      </c>
      <c r="V7" s="57" t="s">
        <v>120</v>
      </c>
      <c r="W7" s="57" t="s">
        <v>131</v>
      </c>
      <c r="X7" s="58" t="s">
        <v>129</v>
      </c>
      <c r="Y7" s="59" t="s">
        <v>127</v>
      </c>
      <c r="Z7" s="59" t="s">
        <v>125</v>
      </c>
      <c r="AA7" s="86" t="s">
        <v>117</v>
      </c>
      <c r="AB7" s="86" t="s">
        <v>118</v>
      </c>
      <c r="AC7" s="87" t="s">
        <v>120</v>
      </c>
      <c r="AD7" s="87" t="s">
        <v>131</v>
      </c>
      <c r="AE7" s="86" t="s">
        <v>129</v>
      </c>
      <c r="AF7" s="88" t="s">
        <v>127</v>
      </c>
      <c r="AG7" s="88" t="s">
        <v>125</v>
      </c>
      <c r="AH7" s="62"/>
      <c r="AI7" s="58" t="s">
        <v>278</v>
      </c>
      <c r="AJ7" s="58" t="s">
        <v>279</v>
      </c>
      <c r="AK7" s="59" t="s">
        <v>276</v>
      </c>
      <c r="AL7" s="87" t="s">
        <v>69</v>
      </c>
      <c r="AM7" s="87" t="s">
        <v>74</v>
      </c>
      <c r="AN7" s="86" t="s">
        <v>80</v>
      </c>
      <c r="AO7" s="89" t="s">
        <v>86</v>
      </c>
      <c r="AP7" s="88" t="s">
        <v>91</v>
      </c>
      <c r="AQ7" s="88" t="s">
        <v>262</v>
      </c>
      <c r="AR7" s="87" t="s">
        <v>69</v>
      </c>
      <c r="AS7" s="87" t="s">
        <v>74</v>
      </c>
      <c r="AT7" s="86" t="s">
        <v>80</v>
      </c>
      <c r="AU7" s="89" t="s">
        <v>86</v>
      </c>
      <c r="AV7" s="88" t="s">
        <v>91</v>
      </c>
      <c r="AW7" s="88" t="s">
        <v>262</v>
      </c>
      <c r="AX7" s="87" t="s">
        <v>69</v>
      </c>
      <c r="AY7" s="87" t="s">
        <v>74</v>
      </c>
      <c r="AZ7" s="86" t="s">
        <v>80</v>
      </c>
      <c r="BA7" s="89" t="s">
        <v>86</v>
      </c>
      <c r="BB7" s="88" t="s">
        <v>91</v>
      </c>
      <c r="BC7" s="88" t="s">
        <v>262</v>
      </c>
    </row>
    <row r="8" spans="1:55" ht="18" customHeight="1">
      <c r="A8" s="34">
        <v>1</v>
      </c>
      <c r="B8" s="35">
        <f>_xlfn.FLOOR.MATH(A8 / 5) + 6</f>
        <v>6</v>
      </c>
      <c r="C8" s="35">
        <f>B8-2</f>
        <v>4</v>
      </c>
      <c r="D8" s="63">
        <f>C8*2</f>
        <v>8</v>
      </c>
      <c r="E8" s="63">
        <f>C8*6</f>
        <v>24</v>
      </c>
      <c r="F8" s="64">
        <f t="shared" ref="F8:F39" si="0">_xlfn.FLOOR.MATH((A8-1)*$D$3)+1</f>
        <v>1</v>
      </c>
      <c r="G8" s="63">
        <f t="shared" ref="G8:G39" si="1">D8*(F8 * $C$3) + $B$3</f>
        <v>3.35</v>
      </c>
      <c r="H8" s="63">
        <f>G8/D8*E8</f>
        <v>10.050000000000001</v>
      </c>
      <c r="I8" s="63">
        <f>(H8+G8)/2</f>
        <v>6.7</v>
      </c>
      <c r="J8" s="65">
        <f>I8</f>
        <v>6.7</v>
      </c>
      <c r="K8" s="66">
        <f>MATCH(J8,$AK$8:$AK$37,1)</f>
        <v>1</v>
      </c>
      <c r="L8" s="132"/>
      <c r="M8" s="34">
        <f>Characters!$F$13+((Characters!$M$13 )*(Floor!$F8-1))</f>
        <v>150</v>
      </c>
      <c r="N8" s="35">
        <f>Characters!$F$14+((Characters!$M$14 )*(Floor!F8-1))</f>
        <v>150</v>
      </c>
      <c r="O8" s="35">
        <f>Characters!$F$15+((Characters!$M$15 )*(Floor!$F8-1))</f>
        <v>150</v>
      </c>
      <c r="P8" s="35">
        <f>Characters!$F$16+((Characters!$M$16 )*(Floor!$F8-1))</f>
        <v>150</v>
      </c>
      <c r="Q8" s="35">
        <f>Characters!$F$17+((Characters!$M$17)*(Floor!$F8-1))</f>
        <v>150</v>
      </c>
      <c r="R8" s="35">
        <f>Characters!$F$18+((Characters!$M$18 )*(Floor!$F8-1))</f>
        <v>150</v>
      </c>
      <c r="S8" s="37">
        <f>Characters!$F$19+((Characters!$M$19 )*(Floor!$F8-1))</f>
        <v>150</v>
      </c>
      <c r="T8" s="34">
        <f>_xlfn.FLOOR.MATH((Characters!$J$13+Characters!$Q$13*(Floor!$F8-1))*5/2)</f>
        <v>20</v>
      </c>
      <c r="U8" s="35">
        <f>_xlfn.FLOOR.MATH((Characters!$J$14+Characters!$Q$14*(Floor!$F8-1))*5/2)</f>
        <v>20</v>
      </c>
      <c r="V8" s="35">
        <f>_xlfn.FLOOR.MATH((Characters!$J$15+Characters!$Q$15*(Floor!$F8-1))*5/2)</f>
        <v>20</v>
      </c>
      <c r="W8" s="35">
        <f>_xlfn.FLOOR.MATH((Characters!$J$16+Characters!$Q$16*(Floor!$F8-1))*5/2)</f>
        <v>20</v>
      </c>
      <c r="X8" s="35">
        <f>_xlfn.FLOOR.MATH((Characters!$J$17+Characters!$Q$17*(Floor!$F8-1))*5/2)</f>
        <v>20</v>
      </c>
      <c r="Y8" s="35">
        <f>_xlfn.FLOOR.MATH((Characters!$J$18+Characters!$Q$18*(Floor!$F8-1))*5/2)</f>
        <v>20</v>
      </c>
      <c r="Z8" s="35">
        <f>_xlfn.FLOOR.MATH((Characters!$J$19+Characters!$Q$19*(Floor!$F8-1))*5/2)</f>
        <v>20</v>
      </c>
      <c r="AA8" s="34">
        <f>_xlfn.FLOOR.MATH((Characters!$G$13+Characters!$N$13*(Floor!$F8-1))*10/2) + _xlfn.FLOOR.MATH((($AI8-1)*Characters!$P$13+Characters!$I$13)*5/2)</f>
        <v>30</v>
      </c>
      <c r="AB8" s="35">
        <f>_xlfn.FLOOR.MATH((Characters!$G$14+Characters!$N$14*(Floor!$F8-1))*10/2) + _xlfn.FLOOR.MATH((($AI8-1)*Characters!$P$14+Characters!$I$14)*5/2)</f>
        <v>30</v>
      </c>
      <c r="AC8" s="35">
        <f>_xlfn.FLOOR.MATH((Characters!$G$15+Characters!$N$15*(Floor!$F8-1))*10/2) + _xlfn.FLOOR.MATH((($AI8-1)*Characters!$P$15+Characters!$I$15)*5/2)</f>
        <v>30</v>
      </c>
      <c r="AD8" s="35">
        <f>_xlfn.FLOOR.MATH((Characters!$G$16+Characters!$N$16*(Floor!$F8-1))*10/2) + _xlfn.FLOOR.MATH((($AI8-1)*Characters!$P$16+Characters!$I$16)*5/2)</f>
        <v>30</v>
      </c>
      <c r="AE8" s="35">
        <f>_xlfn.FLOOR.MATH((Characters!$G$17+Characters!$N$17*(Floor!$F8-1))*10/2) + _xlfn.FLOOR.MATH((($AI8-1)*Characters!$P$17+Characters!$I$17)*5/2)</f>
        <v>30</v>
      </c>
      <c r="AF8" s="35">
        <f>_xlfn.FLOOR.MATH((Characters!$G$18+Characters!$N$18*(Floor!$F8-1))*10/2) + _xlfn.FLOOR.MATH((($AI8-1)*Characters!$P$18+Characters!$I$18)*5/2)</f>
        <v>30</v>
      </c>
      <c r="AG8" s="37">
        <f>_xlfn.FLOOR.MATH((Characters!$G$19+Characters!$N$19*(Floor!$F8-1))*10/2) + _xlfn.FLOOR.MATH((($AI8-1)*Characters!$P$19+Characters!$I$19)*5/2)</f>
        <v>30</v>
      </c>
      <c r="AH8" s="67"/>
      <c r="AI8" s="34">
        <v>1</v>
      </c>
      <c r="AJ8" s="68">
        <f t="shared" ref="AJ8:AJ71" si="2">AI8*AI8+-0.04*AI8+4.04</f>
        <v>5</v>
      </c>
      <c r="AK8" s="120">
        <f>AJ8</f>
        <v>5</v>
      </c>
      <c r="AL8" s="34">
        <f>_xlfn.FLOOR.MATH(($AI8-1)*Characters!$M$7+Characters!$F$7)+$AK$5</f>
        <v>4400</v>
      </c>
      <c r="AM8" s="35">
        <f>_xlfn.FLOOR.MATH(($AI8-1)*Characters!$M$8+Characters!$F$8)+$AK$5</f>
        <v>4450</v>
      </c>
      <c r="AN8" s="35">
        <f>_xlfn.FLOOR.MATH(($AI8-1)*Characters!$M$9+Characters!$F$9)+$AK$5</f>
        <v>4330</v>
      </c>
      <c r="AO8" s="35">
        <f>_xlfn.FLOOR.MATH(($AI8-1)*Characters!$M$10+Characters!$F$10)+$AK$5</f>
        <v>4360</v>
      </c>
      <c r="AP8" s="35">
        <f>_xlfn.FLOOR.MATH(($AI8-1)*Characters!$M$11+Characters!$F$11)+$AK$5</f>
        <v>4330</v>
      </c>
      <c r="AQ8" s="35">
        <f>_xlfn.FLOOR.MATH(($AI8-1)*Characters!$M$12+Characters!$F$12)+$AK$5</f>
        <v>4360</v>
      </c>
      <c r="AR8" s="34">
        <f>_xlfn.FLOOR.MATH((($AI8-1)*Characters!$Q$7+Characters!$J$7+$AK$4)*5/2)</f>
        <v>102</v>
      </c>
      <c r="AS8" s="35">
        <f>_xlfn.FLOOR.MATH((($AI8-1)*Characters!$Q$8+Characters!$J$8+$AK$4)*5/2)</f>
        <v>110</v>
      </c>
      <c r="AT8" s="35">
        <f>_xlfn.FLOOR.MATH((($AI8-1)*Characters!$Q$9+Characters!$J$9+$AK$4)*5/2)</f>
        <v>105</v>
      </c>
      <c r="AU8" s="35">
        <f>_xlfn.FLOOR.MATH((($AI8-1)*Characters!$Q$10+Characters!$J$10+$AK$4)*5/2)</f>
        <v>105</v>
      </c>
      <c r="AV8" s="35">
        <f>_xlfn.FLOOR.MATH((($AI8-1)*Characters!$Q$11+Characters!$J$11+$AK$4)*5/2)</f>
        <v>102</v>
      </c>
      <c r="AW8" s="35">
        <f>_xlfn.FLOOR.MATH((($AI8-1)*Characters!$Q$12+Characters!$J$12+$AK$4)*5/2)</f>
        <v>110</v>
      </c>
      <c r="AX8" s="34">
        <f>_xlfn.FLOOR.MATH((($AI8-1)*Characters!$N$7+Characters!$G$7+$AK$2)*10/2) + _xlfn.FLOOR.MATH((($AI8-1)*Characters!$P$7+Characters!$I$7+$AK$3)*5/2)</f>
        <v>37</v>
      </c>
      <c r="AY8" s="35">
        <f>_xlfn.FLOOR.MATH((($AI8-1)*Characters!$N$8+Characters!$G$8+$AK$2)*10/2) + _xlfn.FLOOR.MATH((($AI8-1)*Characters!$P$8+Characters!$I$8+$AK$3)*5/2)</f>
        <v>80</v>
      </c>
      <c r="AZ8" s="35">
        <f>_xlfn.FLOOR.MATH((($AI8-1)*Characters!$N$9+Characters!$G$9+$AK$2)*10/2) + _xlfn.FLOOR.MATH((($AI8-1)*Characters!$P$9+Characters!$I$9+$AK$3)*5/2)</f>
        <v>35</v>
      </c>
      <c r="BA8" s="35">
        <f>_xlfn.FLOOR.MATH((($AI8-1)*Characters!$N$10+Characters!$G$10+$AK$2)*10/2) + _xlfn.FLOOR.MATH((($AI8-1)*Characters!$P$10+Characters!$I$10+$AK$3)*5/2)</f>
        <v>77</v>
      </c>
      <c r="BB8" s="35">
        <f>_xlfn.FLOOR.MATH((($AI8-1)*Characters!$N$11+Characters!$G$11+$AK$2)*10/2) + _xlfn.FLOOR.MATH((($AI8-1)*Characters!$P$11+Characters!$I$11+$AK$3)*5/2)</f>
        <v>37</v>
      </c>
      <c r="BC8" s="37">
        <f>_xlfn.FLOOR.MATH((($AI8-1)*Characters!$N$12+Characters!$G$12+$AK$2)*10/2) + _xlfn.FLOOR.MATH((($AI8-1)*Characters!$P$12+Characters!$I$12+$AK$3)*5/2)</f>
        <v>80</v>
      </c>
    </row>
    <row r="9" spans="1:55" ht="18" customHeight="1">
      <c r="A9" s="38">
        <v>2</v>
      </c>
      <c r="B9" s="20">
        <f t="shared" ref="B9:B72" si="3">_xlfn.FLOOR.MATH(A9 / 5) + 6</f>
        <v>6</v>
      </c>
      <c r="C9" s="20">
        <f t="shared" ref="C9:C72" si="4">B9-2</f>
        <v>4</v>
      </c>
      <c r="D9" s="52">
        <f t="shared" ref="D9:D72" si="5">C9*2</f>
        <v>8</v>
      </c>
      <c r="E9" s="52">
        <f>C9*6</f>
        <v>24</v>
      </c>
      <c r="F9" s="67">
        <f t="shared" si="0"/>
        <v>2</v>
      </c>
      <c r="G9" s="52">
        <f t="shared" si="1"/>
        <v>6.5500000000000007</v>
      </c>
      <c r="H9" s="52">
        <f t="shared" ref="H9:H72" si="6">G9/D9*E9</f>
        <v>19.650000000000002</v>
      </c>
      <c r="I9" s="52">
        <f t="shared" ref="I9:I72" si="7">(H9+G9)/2</f>
        <v>13.100000000000001</v>
      </c>
      <c r="J9" s="69">
        <f>J8+I9</f>
        <v>19.8</v>
      </c>
      <c r="K9" s="70">
        <f t="shared" ref="K9:K40" si="8">MATCH(J9,$AK$8:$AK$107,1)</f>
        <v>2</v>
      </c>
      <c r="L9" s="132"/>
      <c r="M9" s="38">
        <f>Characters!$F$13+((Characters!$M$13 )*(Floor!$F9-1))</f>
        <v>210</v>
      </c>
      <c r="N9" s="39">
        <f>Characters!$F$14+((Characters!$M$14 )*(Floor!F9-1))</f>
        <v>210</v>
      </c>
      <c r="O9" s="39">
        <f>Characters!$F$15+((Characters!$M$15 )*(Floor!$F9-1))</f>
        <v>210</v>
      </c>
      <c r="P9" s="39">
        <f>Characters!$F$16+((Characters!$M$16 )*(Floor!$F9-1))</f>
        <v>210</v>
      </c>
      <c r="Q9" s="39">
        <f>Characters!$F$17+((Characters!$M$17)*(Floor!$F9-1))</f>
        <v>210</v>
      </c>
      <c r="R9" s="39">
        <f>Characters!$F$18+((Characters!$M$18 )*(Floor!$F9-1))</f>
        <v>210</v>
      </c>
      <c r="S9" s="33">
        <f>Characters!$F$19+((Characters!$M$19 )*(Floor!$F9-1))</f>
        <v>210</v>
      </c>
      <c r="T9" s="38">
        <f>_xlfn.FLOOR.MATH((Characters!$J$13+Characters!$Q$13*(Floor!$F9-1))*5/2)</f>
        <v>27</v>
      </c>
      <c r="U9" s="39">
        <f>_xlfn.FLOOR.MATH((Characters!$J$14+Characters!$Q$14*(Floor!$F9-1))*5/2)</f>
        <v>27</v>
      </c>
      <c r="V9" s="39">
        <f>_xlfn.FLOOR.MATH((Characters!$J$15+Characters!$Q$15*(Floor!$F9-1))*5/2)</f>
        <v>27</v>
      </c>
      <c r="W9" s="39">
        <f>_xlfn.FLOOR.MATH((Characters!$J$16+Characters!$Q$16*(Floor!$F9-1))*5/2)</f>
        <v>27</v>
      </c>
      <c r="X9" s="39">
        <f>_xlfn.FLOOR.MATH((Characters!$J$17+Characters!$Q$17*(Floor!$F9-1))*5/2)</f>
        <v>27</v>
      </c>
      <c r="Y9" s="39">
        <f>_xlfn.FLOOR.MATH((Characters!$J$18+Characters!$Q$18*(Floor!$F9-1))*5/2)</f>
        <v>27</v>
      </c>
      <c r="Z9" s="39">
        <f>_xlfn.FLOOR.MATH((Characters!$J$19+Characters!$Q$19*(Floor!$F9-1))*5/2)</f>
        <v>27</v>
      </c>
      <c r="AA9" s="38">
        <f>_xlfn.FLOOR.MATH((Characters!$G$13+Characters!$N$13*(Floor!$F9-1))*10/2) + _xlfn.FLOOR.MATH((($AI9-1)*Characters!$P$13+Characters!$I$13)*5/2)</f>
        <v>37</v>
      </c>
      <c r="AB9" s="39">
        <f>_xlfn.FLOOR.MATH((Characters!$G$14+Characters!$N$14*(Floor!$F9-1))*10/2) + _xlfn.FLOOR.MATH((($AI9-1)*Characters!$P$14+Characters!$I$14)*5/2)</f>
        <v>37</v>
      </c>
      <c r="AC9" s="39">
        <f>_xlfn.FLOOR.MATH((Characters!$G$15+Characters!$N$15*(Floor!$F9-1))*10/2) + _xlfn.FLOOR.MATH((($AI9-1)*Characters!$P$15+Characters!$I$15)*5/2)</f>
        <v>37</v>
      </c>
      <c r="AD9" s="39">
        <f>_xlfn.FLOOR.MATH((Characters!$G$16+Characters!$N$16*(Floor!$F9-1))*10/2) + _xlfn.FLOOR.MATH((($AI9-1)*Characters!$P$16+Characters!$I$16)*5/2)</f>
        <v>37</v>
      </c>
      <c r="AE9" s="39">
        <f>_xlfn.FLOOR.MATH((Characters!$G$17+Characters!$N$17*(Floor!$F9-1))*10/2) + _xlfn.FLOOR.MATH((($AI9-1)*Characters!$P$17+Characters!$I$17)*5/2)</f>
        <v>37</v>
      </c>
      <c r="AF9" s="39">
        <f>_xlfn.FLOOR.MATH((Characters!$G$18+Characters!$N$18*(Floor!$F9-1))*10/2) + _xlfn.FLOOR.MATH((($AI9-1)*Characters!$P$18+Characters!$I$18)*5/2)</f>
        <v>37</v>
      </c>
      <c r="AG9" s="33">
        <f>_xlfn.FLOOR.MATH((Characters!$G$19+Characters!$N$19*(Floor!$F9-1))*10/2) + _xlfn.FLOOR.MATH((($AI9-1)*Characters!$P$19+Characters!$I$19)*5/2)</f>
        <v>37</v>
      </c>
      <c r="AH9" s="67"/>
      <c r="AI9" s="38">
        <v>2</v>
      </c>
      <c r="AJ9" s="71">
        <f t="shared" si="2"/>
        <v>7.96</v>
      </c>
      <c r="AK9" s="105">
        <f>AK8+AJ9</f>
        <v>12.96</v>
      </c>
      <c r="AL9" s="38">
        <f>_xlfn.FLOOR.MATH(($AI9-1)*Characters!$M$7+Characters!$F$7)+$AK$5</f>
        <v>4430</v>
      </c>
      <c r="AM9" s="39">
        <f>_xlfn.FLOOR.MATH(($AI9-1)*Characters!$M$8+Characters!$F$8)+$AK$5</f>
        <v>4500</v>
      </c>
      <c r="AN9" s="39">
        <f>_xlfn.FLOOR.MATH(($AI9-1)*Characters!$M$9+Characters!$F$9)+$AK$5</f>
        <v>4355</v>
      </c>
      <c r="AO9" s="39">
        <f>_xlfn.FLOOR.MATH(($AI9-1)*Characters!$M$10+Characters!$F$10)+$AK$5</f>
        <v>4395</v>
      </c>
      <c r="AP9" s="39">
        <f>_xlfn.FLOOR.MATH(($AI9-1)*Characters!$M$11+Characters!$F$11)+$AK$5</f>
        <v>4355</v>
      </c>
      <c r="AQ9" s="39">
        <f>_xlfn.FLOOR.MATH(($AI9-1)*Characters!$M$12+Characters!$F$12)+$AK$5</f>
        <v>4400</v>
      </c>
      <c r="AR9" s="38">
        <f>_xlfn.FLOOR.MATH((($AI9-1)*Characters!$Q$7+Characters!$J$7+$AK$4)*5/2)</f>
        <v>103</v>
      </c>
      <c r="AS9" s="39">
        <f>_xlfn.FLOOR.MATH((($AI9-1)*Characters!$Q$8+Characters!$J$8+$AK$4)*5/2)</f>
        <v>111</v>
      </c>
      <c r="AT9" s="39">
        <f>_xlfn.FLOOR.MATH((($AI9-1)*Characters!$Q$9+Characters!$J$9+$AK$4)*5/2)</f>
        <v>105</v>
      </c>
      <c r="AU9" s="39">
        <f>_xlfn.FLOOR.MATH((($AI9-1)*Characters!$Q$10+Characters!$J$10+$AK$4)*5/2)</f>
        <v>106</v>
      </c>
      <c r="AV9" s="39">
        <f>_xlfn.FLOOR.MATH((($AI9-1)*Characters!$Q$11+Characters!$J$11+$AK$4)*5/2)</f>
        <v>103</v>
      </c>
      <c r="AW9" s="39">
        <f>_xlfn.FLOOR.MATH((($AI9-1)*Characters!$Q$12+Characters!$J$12+$AK$4)*5/2)</f>
        <v>111</v>
      </c>
      <c r="AX9" s="38">
        <f>_xlfn.FLOOR.MATH((($AI9-1)*Characters!$N$7+Characters!$G$7+$AK$2)*10/2) + _xlfn.FLOOR.MATH((($AI9-1)*Characters!$P$7+Characters!$I$7+$AK$3)*5/2)</f>
        <v>40</v>
      </c>
      <c r="AY9" s="39">
        <f>_xlfn.FLOOR.MATH((($AI9-1)*Characters!$N$8+Characters!$G$8+$AK$2)*10/2) + _xlfn.FLOOR.MATH((($AI9-1)*Characters!$P$8+Characters!$I$8+$AK$3)*5/2)</f>
        <v>84</v>
      </c>
      <c r="AZ9" s="39">
        <f>_xlfn.FLOOR.MATH((($AI9-1)*Characters!$N$9+Characters!$G$9+$AK$2)*10/2) + _xlfn.FLOOR.MATH((($AI9-1)*Characters!$P$9+Characters!$I$9+$AK$3)*5/2)</f>
        <v>36</v>
      </c>
      <c r="BA9" s="39">
        <f>_xlfn.FLOOR.MATH((($AI9-1)*Characters!$N$10+Characters!$G$10+$AK$2)*10/2) + _xlfn.FLOOR.MATH((($AI9-1)*Characters!$P$10+Characters!$I$10+$AK$3)*5/2)</f>
        <v>82</v>
      </c>
      <c r="BB9" s="39">
        <f>_xlfn.FLOOR.MATH((($AI9-1)*Characters!$N$11+Characters!$G$11+$AK$2)*10/2) + _xlfn.FLOOR.MATH((($AI9-1)*Characters!$P$11+Characters!$I$11+$AK$3)*5/2)</f>
        <v>39</v>
      </c>
      <c r="BC9" s="33">
        <f>_xlfn.FLOOR.MATH((($AI9-1)*Characters!$N$12+Characters!$G$12+$AK$2)*10/2) + _xlfn.FLOOR.MATH((($AI9-1)*Characters!$P$12+Characters!$I$12+$AK$3)*5/2)</f>
        <v>85</v>
      </c>
    </row>
    <row r="10" spans="1:55" ht="18" customHeight="1">
      <c r="A10" s="38">
        <v>3</v>
      </c>
      <c r="B10" s="20">
        <f t="shared" si="3"/>
        <v>6</v>
      </c>
      <c r="C10" s="20">
        <f t="shared" si="4"/>
        <v>4</v>
      </c>
      <c r="D10" s="52">
        <f t="shared" si="5"/>
        <v>8</v>
      </c>
      <c r="E10" s="52">
        <f t="shared" ref="E10:E73" si="9">C10*6</f>
        <v>24</v>
      </c>
      <c r="F10" s="67">
        <f t="shared" si="0"/>
        <v>4</v>
      </c>
      <c r="G10" s="52">
        <f t="shared" si="1"/>
        <v>12.950000000000001</v>
      </c>
      <c r="H10" s="52">
        <f t="shared" si="6"/>
        <v>38.85</v>
      </c>
      <c r="I10" s="52">
        <f t="shared" si="7"/>
        <v>25.900000000000002</v>
      </c>
      <c r="J10" s="69">
        <f t="shared" ref="J10:J73" si="10">J9+I10</f>
        <v>45.7</v>
      </c>
      <c r="K10" s="70">
        <f t="shared" si="8"/>
        <v>3</v>
      </c>
      <c r="L10" s="132"/>
      <c r="M10" s="38">
        <f>Characters!$F$13+((Characters!$M$13 )*(Floor!$F10-1))</f>
        <v>330</v>
      </c>
      <c r="N10" s="39">
        <f>Characters!$F$14+((Characters!$M$14 )*(Floor!F10-1))</f>
        <v>330</v>
      </c>
      <c r="O10" s="39">
        <f>Characters!$F$15+((Characters!$M$15 )*(Floor!$F10-1))</f>
        <v>330</v>
      </c>
      <c r="P10" s="39">
        <f>Characters!$F$16+((Characters!$M$16 )*(Floor!$F10-1))</f>
        <v>330</v>
      </c>
      <c r="Q10" s="39">
        <f>Characters!$F$17+((Characters!$M$17)*(Floor!$F10-1))</f>
        <v>330</v>
      </c>
      <c r="R10" s="39">
        <f>Characters!$F$18+((Characters!$M$18 )*(Floor!$F10-1))</f>
        <v>330</v>
      </c>
      <c r="S10" s="33">
        <f>Characters!$F$19+((Characters!$M$19 )*(Floor!$F10-1))</f>
        <v>330</v>
      </c>
      <c r="T10" s="38">
        <f>_xlfn.FLOOR.MATH((Characters!$J$13+Characters!$Q$13*(Floor!$F10-1))*5/2)</f>
        <v>42</v>
      </c>
      <c r="U10" s="39">
        <f>_xlfn.FLOOR.MATH((Characters!$J$14+Characters!$Q$14*(Floor!$F10-1))*5/2)</f>
        <v>42</v>
      </c>
      <c r="V10" s="39">
        <f>_xlfn.FLOOR.MATH((Characters!$J$15+Characters!$Q$15*(Floor!$F10-1))*5/2)</f>
        <v>42</v>
      </c>
      <c r="W10" s="39">
        <f>_xlfn.FLOOR.MATH((Characters!$J$16+Characters!$Q$16*(Floor!$F10-1))*5/2)</f>
        <v>42</v>
      </c>
      <c r="X10" s="39">
        <f>_xlfn.FLOOR.MATH((Characters!$J$17+Characters!$Q$17*(Floor!$F10-1))*5/2)</f>
        <v>42</v>
      </c>
      <c r="Y10" s="39">
        <f>_xlfn.FLOOR.MATH((Characters!$J$18+Characters!$Q$18*(Floor!$F10-1))*5/2)</f>
        <v>42</v>
      </c>
      <c r="Z10" s="39">
        <f>_xlfn.FLOOR.MATH((Characters!$J$19+Characters!$Q$19*(Floor!$F10-1))*5/2)</f>
        <v>42</v>
      </c>
      <c r="AA10" s="38">
        <f>_xlfn.FLOOR.MATH((Characters!$G$13+Characters!$N$13*(Floor!$F10-1))*10/2) + _xlfn.FLOOR.MATH((($AI10-1)*Characters!$P$13+Characters!$I$13)*5/2)</f>
        <v>50</v>
      </c>
      <c r="AB10" s="39">
        <f>_xlfn.FLOOR.MATH((Characters!$G$14+Characters!$N$14*(Floor!$F10-1))*10/2) + _xlfn.FLOOR.MATH((($AI10-1)*Characters!$P$14+Characters!$I$14)*5/2)</f>
        <v>50</v>
      </c>
      <c r="AC10" s="39">
        <f>_xlfn.FLOOR.MATH((Characters!$G$15+Characters!$N$15*(Floor!$F10-1))*10/2) + _xlfn.FLOOR.MATH((($AI10-1)*Characters!$P$15+Characters!$I$15)*5/2)</f>
        <v>50</v>
      </c>
      <c r="AD10" s="39">
        <f>_xlfn.FLOOR.MATH((Characters!$G$16+Characters!$N$16*(Floor!$F10-1))*10/2) + _xlfn.FLOOR.MATH((($AI10-1)*Characters!$P$16+Characters!$I$16)*5/2)</f>
        <v>50</v>
      </c>
      <c r="AE10" s="39">
        <f>_xlfn.FLOOR.MATH((Characters!$G$17+Characters!$N$17*(Floor!$F10-1))*10/2) + _xlfn.FLOOR.MATH((($AI10-1)*Characters!$P$17+Characters!$I$17)*5/2)</f>
        <v>50</v>
      </c>
      <c r="AF10" s="39">
        <f>_xlfn.FLOOR.MATH((Characters!$G$18+Characters!$N$18*(Floor!$F10-1))*10/2) + _xlfn.FLOOR.MATH((($AI10-1)*Characters!$P$18+Characters!$I$18)*5/2)</f>
        <v>50</v>
      </c>
      <c r="AG10" s="33">
        <f>_xlfn.FLOOR.MATH((Characters!$G$19+Characters!$N$19*(Floor!$F10-1))*10/2) + _xlfn.FLOOR.MATH((($AI10-1)*Characters!$P$19+Characters!$I$19)*5/2)</f>
        <v>50</v>
      </c>
      <c r="AH10" s="67"/>
      <c r="AI10" s="38">
        <v>3</v>
      </c>
      <c r="AJ10" s="71">
        <f t="shared" si="2"/>
        <v>12.920000000000002</v>
      </c>
      <c r="AK10" s="105">
        <f t="shared" ref="AK10:AK73" si="11">AK9+AJ10</f>
        <v>25.880000000000003</v>
      </c>
      <c r="AL10" s="38">
        <f>_xlfn.FLOOR.MATH(($AI10-1)*Characters!$M$7+Characters!$F$7)+$AK$5</f>
        <v>4460</v>
      </c>
      <c r="AM10" s="39">
        <f>_xlfn.FLOOR.MATH(($AI10-1)*Characters!$M$8+Characters!$F$8)+$AK$5</f>
        <v>4550</v>
      </c>
      <c r="AN10" s="39">
        <f>_xlfn.FLOOR.MATH(($AI10-1)*Characters!$M$9+Characters!$F$9)+$AK$5</f>
        <v>4380</v>
      </c>
      <c r="AO10" s="39">
        <f>_xlfn.FLOOR.MATH(($AI10-1)*Characters!$M$10+Characters!$F$10)+$AK$5</f>
        <v>4430</v>
      </c>
      <c r="AP10" s="39">
        <f>_xlfn.FLOOR.MATH(($AI10-1)*Characters!$M$11+Characters!$F$11)+$AK$5</f>
        <v>4380</v>
      </c>
      <c r="AQ10" s="39">
        <f>_xlfn.FLOOR.MATH(($AI10-1)*Characters!$M$12+Characters!$F$12)+$AK$5</f>
        <v>4440</v>
      </c>
      <c r="AR10" s="38">
        <f>_xlfn.FLOOR.MATH((($AI10-1)*Characters!$Q$7+Characters!$J$7+$AK$4)*5/2)</f>
        <v>105</v>
      </c>
      <c r="AS10" s="39">
        <f>_xlfn.FLOOR.MATH((($AI10-1)*Characters!$Q$8+Characters!$J$8+$AK$4)*5/2)</f>
        <v>113</v>
      </c>
      <c r="AT10" s="39">
        <f>_xlfn.FLOOR.MATH((($AI10-1)*Characters!$Q$9+Characters!$J$9+$AK$4)*5/2)</f>
        <v>106</v>
      </c>
      <c r="AU10" s="39">
        <f>_xlfn.FLOOR.MATH((($AI10-1)*Characters!$Q$10+Characters!$J$10+$AK$4)*5/2)</f>
        <v>107</v>
      </c>
      <c r="AV10" s="39">
        <f>_xlfn.FLOOR.MATH((($AI10-1)*Characters!$Q$11+Characters!$J$11+$AK$4)*5/2)</f>
        <v>104</v>
      </c>
      <c r="AW10" s="39">
        <f>_xlfn.FLOOR.MATH((($AI10-1)*Characters!$Q$12+Characters!$J$12+$AK$4)*5/2)</f>
        <v>113</v>
      </c>
      <c r="AX10" s="38">
        <f>_xlfn.FLOOR.MATH((($AI10-1)*Characters!$N$7+Characters!$G$7+$AK$2)*10/2) + _xlfn.FLOOR.MATH((($AI10-1)*Characters!$P$7+Characters!$I$7+$AK$3)*5/2)</f>
        <v>45</v>
      </c>
      <c r="AY10" s="39">
        <f>_xlfn.FLOOR.MATH((($AI10-1)*Characters!$N$8+Characters!$G$8+$AK$2)*10/2) + _xlfn.FLOOR.MATH((($AI10-1)*Characters!$P$8+Characters!$I$8+$AK$3)*5/2)</f>
        <v>89</v>
      </c>
      <c r="AZ10" s="39">
        <f>_xlfn.FLOOR.MATH((($AI10-1)*Characters!$N$9+Characters!$G$9+$AK$2)*10/2) + _xlfn.FLOOR.MATH((($AI10-1)*Characters!$P$9+Characters!$I$9+$AK$3)*5/2)</f>
        <v>38</v>
      </c>
      <c r="BA10" s="39">
        <f>_xlfn.FLOOR.MATH((($AI10-1)*Characters!$N$10+Characters!$G$10+$AK$2)*10/2) + _xlfn.FLOOR.MATH((($AI10-1)*Characters!$P$10+Characters!$I$10+$AK$3)*5/2)</f>
        <v>88</v>
      </c>
      <c r="BB10" s="39">
        <f>_xlfn.FLOOR.MATH((($AI10-1)*Characters!$N$11+Characters!$G$11+$AK$2)*10/2) + _xlfn.FLOOR.MATH((($AI10-1)*Characters!$P$11+Characters!$I$11+$AK$3)*5/2)</f>
        <v>41</v>
      </c>
      <c r="BC10" s="33">
        <f>_xlfn.FLOOR.MATH((($AI10-1)*Characters!$N$12+Characters!$G$12+$AK$2)*10/2) + _xlfn.FLOOR.MATH((($AI10-1)*Characters!$P$12+Characters!$I$12+$AK$3)*5/2)</f>
        <v>90</v>
      </c>
    </row>
    <row r="11" spans="1:55" ht="18" customHeight="1">
      <c r="A11" s="38">
        <v>4</v>
      </c>
      <c r="B11" s="20">
        <f t="shared" si="3"/>
        <v>6</v>
      </c>
      <c r="C11" s="20">
        <f t="shared" si="4"/>
        <v>4</v>
      </c>
      <c r="D11" s="52">
        <f t="shared" si="5"/>
        <v>8</v>
      </c>
      <c r="E11" s="52">
        <f t="shared" si="9"/>
        <v>24</v>
      </c>
      <c r="F11" s="67">
        <f t="shared" si="0"/>
        <v>5</v>
      </c>
      <c r="G11" s="52">
        <f t="shared" si="1"/>
        <v>16.149999999999999</v>
      </c>
      <c r="H11" s="52">
        <f t="shared" si="6"/>
        <v>48.449999999999996</v>
      </c>
      <c r="I11" s="52">
        <f t="shared" si="7"/>
        <v>32.299999999999997</v>
      </c>
      <c r="J11" s="69">
        <f t="shared" si="10"/>
        <v>78</v>
      </c>
      <c r="K11" s="70">
        <f t="shared" si="8"/>
        <v>5</v>
      </c>
      <c r="L11" s="132"/>
      <c r="M11" s="38">
        <f>Characters!$F$13+((Characters!$M$13 )*(Floor!$F11-1))</f>
        <v>390</v>
      </c>
      <c r="N11" s="39">
        <f>Characters!$F$14+((Characters!$M$14 )*(Floor!F11-1))</f>
        <v>390</v>
      </c>
      <c r="O11" s="39">
        <f>Characters!$F$15+((Characters!$M$15 )*(Floor!$F11-1))</f>
        <v>390</v>
      </c>
      <c r="P11" s="39">
        <f>Characters!$F$16+((Characters!$M$16 )*(Floor!$F11-1))</f>
        <v>390</v>
      </c>
      <c r="Q11" s="39">
        <f>Characters!$F$17+((Characters!$M$17)*(Floor!$F11-1))</f>
        <v>390</v>
      </c>
      <c r="R11" s="39">
        <f>Characters!$F$18+((Characters!$M$18 )*(Floor!$F11-1))</f>
        <v>390</v>
      </c>
      <c r="S11" s="33">
        <f>Characters!$F$19+((Characters!$M$19 )*(Floor!$F11-1))</f>
        <v>390</v>
      </c>
      <c r="T11" s="38">
        <f>_xlfn.FLOOR.MATH((Characters!$J$13+Characters!$Q$13*(Floor!$F11-1))*5/2)</f>
        <v>50</v>
      </c>
      <c r="U11" s="39">
        <f>_xlfn.FLOOR.MATH((Characters!$J$14+Characters!$Q$14*(Floor!$F11-1))*5/2)</f>
        <v>50</v>
      </c>
      <c r="V11" s="39">
        <f>_xlfn.FLOOR.MATH((Characters!$J$15+Characters!$Q$15*(Floor!$F11-1))*5/2)</f>
        <v>50</v>
      </c>
      <c r="W11" s="39">
        <f>_xlfn.FLOOR.MATH((Characters!$J$16+Characters!$Q$16*(Floor!$F11-1))*5/2)</f>
        <v>50</v>
      </c>
      <c r="X11" s="39">
        <f>_xlfn.FLOOR.MATH((Characters!$J$17+Characters!$Q$17*(Floor!$F11-1))*5/2)</f>
        <v>50</v>
      </c>
      <c r="Y11" s="39">
        <f>_xlfn.FLOOR.MATH((Characters!$J$18+Characters!$Q$18*(Floor!$F11-1))*5/2)</f>
        <v>50</v>
      </c>
      <c r="Z11" s="39">
        <f>_xlfn.FLOOR.MATH((Characters!$J$19+Characters!$Q$19*(Floor!$F11-1))*5/2)</f>
        <v>50</v>
      </c>
      <c r="AA11" s="38">
        <f>_xlfn.FLOOR.MATH((Characters!$G$13+Characters!$N$13*(Floor!$F11-1))*10/2) + _xlfn.FLOOR.MATH((($AI11-1)*Characters!$P$13+Characters!$I$13)*5/2)</f>
        <v>57</v>
      </c>
      <c r="AB11" s="39">
        <f>_xlfn.FLOOR.MATH((Characters!$G$14+Characters!$N$14*(Floor!$F11-1))*10/2) + _xlfn.FLOOR.MATH((($AI11-1)*Characters!$P$14+Characters!$I$14)*5/2)</f>
        <v>57</v>
      </c>
      <c r="AC11" s="39">
        <f>_xlfn.FLOOR.MATH((Characters!$G$15+Characters!$N$15*(Floor!$F11-1))*10/2) + _xlfn.FLOOR.MATH((($AI11-1)*Characters!$P$15+Characters!$I$15)*5/2)</f>
        <v>57</v>
      </c>
      <c r="AD11" s="39">
        <f>_xlfn.FLOOR.MATH((Characters!$G$16+Characters!$N$16*(Floor!$F11-1))*10/2) + _xlfn.FLOOR.MATH((($AI11-1)*Characters!$P$16+Characters!$I$16)*5/2)</f>
        <v>57</v>
      </c>
      <c r="AE11" s="39">
        <f>_xlfn.FLOOR.MATH((Characters!$G$17+Characters!$N$17*(Floor!$F11-1))*10/2) + _xlfn.FLOOR.MATH((($AI11-1)*Characters!$P$17+Characters!$I$17)*5/2)</f>
        <v>57</v>
      </c>
      <c r="AF11" s="39">
        <f>_xlfn.FLOOR.MATH((Characters!$G$18+Characters!$N$18*(Floor!$F11-1))*10/2) + _xlfn.FLOOR.MATH((($AI11-1)*Characters!$P$18+Characters!$I$18)*5/2)</f>
        <v>57</v>
      </c>
      <c r="AG11" s="33">
        <f>_xlfn.FLOOR.MATH((Characters!$G$19+Characters!$N$19*(Floor!$F11-1))*10/2) + _xlfn.FLOOR.MATH((($AI11-1)*Characters!$P$19+Characters!$I$19)*5/2)</f>
        <v>57</v>
      </c>
      <c r="AH11" s="67"/>
      <c r="AI11" s="38">
        <v>4</v>
      </c>
      <c r="AJ11" s="71">
        <f t="shared" si="2"/>
        <v>19.88</v>
      </c>
      <c r="AK11" s="105">
        <f t="shared" si="11"/>
        <v>45.760000000000005</v>
      </c>
      <c r="AL11" s="38">
        <f>_xlfn.FLOOR.MATH(($AI11-1)*Characters!$M$7+Characters!$F$7)+$AK$5</f>
        <v>4490</v>
      </c>
      <c r="AM11" s="39">
        <f>_xlfn.FLOOR.MATH(($AI11-1)*Characters!$M$8+Characters!$F$8)+$AK$5</f>
        <v>4600</v>
      </c>
      <c r="AN11" s="39">
        <f>_xlfn.FLOOR.MATH(($AI11-1)*Characters!$M$9+Characters!$F$9)+$AK$5</f>
        <v>4405</v>
      </c>
      <c r="AO11" s="39">
        <f>_xlfn.FLOOR.MATH(($AI11-1)*Characters!$M$10+Characters!$F$10)+$AK$5</f>
        <v>4465</v>
      </c>
      <c r="AP11" s="39">
        <f>_xlfn.FLOOR.MATH(($AI11-1)*Characters!$M$11+Characters!$F$11)+$AK$5</f>
        <v>4405</v>
      </c>
      <c r="AQ11" s="39">
        <f>_xlfn.FLOOR.MATH(($AI11-1)*Characters!$M$12+Characters!$F$12)+$AK$5</f>
        <v>4480</v>
      </c>
      <c r="AR11" s="38">
        <f>_xlfn.FLOOR.MATH((($AI11-1)*Characters!$Q$7+Characters!$J$7+$AK$4)*5/2)</f>
        <v>106</v>
      </c>
      <c r="AS11" s="39">
        <f>_xlfn.FLOOR.MATH((($AI11-1)*Characters!$Q$8+Characters!$J$8+$AK$4)*5/2)</f>
        <v>114</v>
      </c>
      <c r="AT11" s="39">
        <f>_xlfn.FLOOR.MATH((($AI11-1)*Characters!$Q$9+Characters!$J$9+$AK$4)*5/2)</f>
        <v>107</v>
      </c>
      <c r="AU11" s="39">
        <f>_xlfn.FLOOR.MATH((($AI11-1)*Characters!$Q$10+Characters!$J$10+$AK$4)*5/2)</f>
        <v>108</v>
      </c>
      <c r="AV11" s="39">
        <f>_xlfn.FLOOR.MATH((($AI11-1)*Characters!$Q$11+Characters!$J$11+$AK$4)*5/2)</f>
        <v>104</v>
      </c>
      <c r="AW11" s="39">
        <f>_xlfn.FLOOR.MATH((($AI11-1)*Characters!$Q$12+Characters!$J$12+$AK$4)*5/2)</f>
        <v>114</v>
      </c>
      <c r="AX11" s="38">
        <f>_xlfn.FLOOR.MATH((($AI11-1)*Characters!$N$7+Characters!$G$7+$AK$2)*10/2) + _xlfn.FLOOR.MATH((($AI11-1)*Characters!$P$7+Characters!$I$7+$AK$3)*5/2)</f>
        <v>48</v>
      </c>
      <c r="AY11" s="39">
        <f>_xlfn.FLOOR.MATH((($AI11-1)*Characters!$N$8+Characters!$G$8+$AK$2)*10/2) + _xlfn.FLOOR.MATH((($AI11-1)*Characters!$P$8+Characters!$I$8+$AK$3)*5/2)</f>
        <v>93</v>
      </c>
      <c r="AZ11" s="39">
        <f>_xlfn.FLOOR.MATH((($AI11-1)*Characters!$N$9+Characters!$G$9+$AK$2)*10/2) + _xlfn.FLOOR.MATH((($AI11-1)*Characters!$P$9+Characters!$I$9+$AK$3)*5/2)</f>
        <v>40</v>
      </c>
      <c r="BA11" s="39">
        <f>_xlfn.FLOOR.MATH((($AI11-1)*Characters!$N$10+Characters!$G$10+$AK$2)*10/2) + _xlfn.FLOOR.MATH((($AI11-1)*Characters!$P$10+Characters!$I$10+$AK$3)*5/2)</f>
        <v>93</v>
      </c>
      <c r="BB11" s="39">
        <f>_xlfn.FLOOR.MATH((($AI11-1)*Characters!$N$11+Characters!$G$11+$AK$2)*10/2) + _xlfn.FLOOR.MATH((($AI11-1)*Characters!$P$11+Characters!$I$11+$AK$3)*5/2)</f>
        <v>43</v>
      </c>
      <c r="BC11" s="33">
        <f>_xlfn.FLOOR.MATH((($AI11-1)*Characters!$N$12+Characters!$G$12+$AK$2)*10/2) + _xlfn.FLOOR.MATH((($AI11-1)*Characters!$P$12+Characters!$I$12+$AK$3)*5/2)</f>
        <v>95</v>
      </c>
    </row>
    <row r="12" spans="1:55" ht="18" customHeight="1">
      <c r="A12" s="38">
        <v>5</v>
      </c>
      <c r="B12" s="20">
        <f t="shared" si="3"/>
        <v>7</v>
      </c>
      <c r="C12" s="20">
        <f t="shared" si="4"/>
        <v>5</v>
      </c>
      <c r="D12" s="52">
        <f t="shared" si="5"/>
        <v>10</v>
      </c>
      <c r="E12" s="52">
        <f t="shared" si="9"/>
        <v>30</v>
      </c>
      <c r="F12" s="67">
        <f t="shared" si="0"/>
        <v>7</v>
      </c>
      <c r="G12" s="52">
        <f t="shared" si="1"/>
        <v>28.150000000000002</v>
      </c>
      <c r="H12" s="52">
        <f t="shared" si="6"/>
        <v>84.450000000000017</v>
      </c>
      <c r="I12" s="52">
        <f t="shared" si="7"/>
        <v>56.300000000000011</v>
      </c>
      <c r="J12" s="69">
        <f t="shared" si="10"/>
        <v>134.30000000000001</v>
      </c>
      <c r="K12" s="70">
        <f t="shared" si="8"/>
        <v>6</v>
      </c>
      <c r="L12" s="132"/>
      <c r="M12" s="102">
        <f>Characters!$F$13+((Characters!$M$13 )*(Floor!$F12-1))</f>
        <v>510</v>
      </c>
      <c r="N12" s="103">
        <f>Characters!$F$14+((Characters!$M$14 )*(Floor!F12-1))</f>
        <v>510</v>
      </c>
      <c r="O12" s="103">
        <f>Characters!$F$15+((Characters!$M$15 )*(Floor!$F12-1))</f>
        <v>510</v>
      </c>
      <c r="P12" s="103">
        <f>Characters!$F$16+((Characters!$M$16 )*(Floor!$F12-1))</f>
        <v>510</v>
      </c>
      <c r="Q12" s="103">
        <f>Characters!$F$17+((Characters!$M$17)*(Floor!$F12-1))</f>
        <v>510</v>
      </c>
      <c r="R12" s="103">
        <f>Characters!$F$18+((Characters!$M$18 )*(Floor!$F12-1))</f>
        <v>510</v>
      </c>
      <c r="S12" s="104">
        <f>Characters!$F$19+((Characters!$M$19 )*(Floor!$F12-1))</f>
        <v>510</v>
      </c>
      <c r="T12" s="102">
        <f>_xlfn.FLOOR.MATH((Characters!$J$13+Characters!$Q$13*(Floor!$F12-1))*5/2)</f>
        <v>65</v>
      </c>
      <c r="U12" s="103">
        <f>_xlfn.FLOOR.MATH((Characters!$J$14+Characters!$Q$14*(Floor!$F12-1))*5/2)</f>
        <v>65</v>
      </c>
      <c r="V12" s="103">
        <f>_xlfn.FLOOR.MATH((Characters!$J$15+Characters!$Q$15*(Floor!$F12-1))*5/2)</f>
        <v>65</v>
      </c>
      <c r="W12" s="103">
        <f>_xlfn.FLOOR.MATH((Characters!$J$16+Characters!$Q$16*(Floor!$F12-1))*5/2)</f>
        <v>65</v>
      </c>
      <c r="X12" s="103">
        <f>_xlfn.FLOOR.MATH((Characters!$J$17+Characters!$Q$17*(Floor!$F12-1))*5/2)</f>
        <v>65</v>
      </c>
      <c r="Y12" s="103">
        <f>_xlfn.FLOOR.MATH((Characters!$J$18+Characters!$Q$18*(Floor!$F12-1))*5/2)</f>
        <v>65</v>
      </c>
      <c r="Z12" s="103">
        <f>_xlfn.FLOOR.MATH((Characters!$J$19+Characters!$Q$19*(Floor!$F12-1))*5/2)</f>
        <v>65</v>
      </c>
      <c r="AA12" s="102">
        <f>_xlfn.FLOOR.MATH((Characters!$G$13+Characters!$N$13*(Floor!$F12-1))*10/2) + _xlfn.FLOOR.MATH((($AI12-1)*Characters!$P$13+Characters!$I$13)*5/2)</f>
        <v>71</v>
      </c>
      <c r="AB12" s="103">
        <f>_xlfn.FLOOR.MATH((Characters!$G$14+Characters!$N$14*(Floor!$F12-1))*10/2) + _xlfn.FLOOR.MATH((($AI12-1)*Characters!$P$14+Characters!$I$14)*5/2)</f>
        <v>71</v>
      </c>
      <c r="AC12" s="103">
        <f>_xlfn.FLOOR.MATH((Characters!$G$15+Characters!$N$15*(Floor!$F12-1))*10/2) + _xlfn.FLOOR.MATH((($AI12-1)*Characters!$P$15+Characters!$I$15)*5/2)</f>
        <v>71</v>
      </c>
      <c r="AD12" s="103">
        <f>_xlfn.FLOOR.MATH((Characters!$G$16+Characters!$N$16*(Floor!$F12-1))*10/2) + _xlfn.FLOOR.MATH((($AI12-1)*Characters!$P$16+Characters!$I$16)*5/2)</f>
        <v>71</v>
      </c>
      <c r="AE12" s="103">
        <f>_xlfn.FLOOR.MATH((Characters!$G$17+Characters!$N$17*(Floor!$F12-1))*10/2) + _xlfn.FLOOR.MATH((($AI12-1)*Characters!$P$17+Characters!$I$17)*5/2)</f>
        <v>71</v>
      </c>
      <c r="AF12" s="103">
        <f>_xlfn.FLOOR.MATH((Characters!$G$18+Characters!$N$18*(Floor!$F12-1))*10/2) + _xlfn.FLOOR.MATH((($AI12-1)*Characters!$P$18+Characters!$I$18)*5/2)</f>
        <v>71</v>
      </c>
      <c r="AG12" s="104">
        <f>_xlfn.FLOOR.MATH((Characters!$G$19+Characters!$N$19*(Floor!$F12-1))*10/2) + _xlfn.FLOOR.MATH((($AI12-1)*Characters!$P$19+Characters!$I$19)*5/2)</f>
        <v>71</v>
      </c>
      <c r="AH12" s="135"/>
      <c r="AI12" s="38">
        <v>5</v>
      </c>
      <c r="AJ12" s="71">
        <f t="shared" si="2"/>
        <v>28.84</v>
      </c>
      <c r="AK12" s="105">
        <f t="shared" si="11"/>
        <v>74.600000000000009</v>
      </c>
      <c r="AL12" s="38">
        <f>_xlfn.FLOOR.MATH(($AI12-1)*Characters!$M$7+Characters!$F$7)+$AK$5</f>
        <v>4520</v>
      </c>
      <c r="AM12" s="39">
        <f>_xlfn.FLOOR.MATH(($AI12-1)*Characters!$M$8+Characters!$F$8)+$AK$5</f>
        <v>4650</v>
      </c>
      <c r="AN12" s="39">
        <f>_xlfn.FLOOR.MATH(($AI12-1)*Characters!$M$9+Characters!$F$9)+$AK$5</f>
        <v>4430</v>
      </c>
      <c r="AO12" s="39">
        <f>_xlfn.FLOOR.MATH(($AI12-1)*Characters!$M$10+Characters!$F$10)+$AK$5</f>
        <v>4500</v>
      </c>
      <c r="AP12" s="39">
        <f>_xlfn.FLOOR.MATH(($AI12-1)*Characters!$M$11+Characters!$F$11)+$AK$5</f>
        <v>4430</v>
      </c>
      <c r="AQ12" s="39">
        <f>_xlfn.FLOOR.MATH(($AI12-1)*Characters!$M$12+Characters!$F$12)+$AK$5</f>
        <v>4520</v>
      </c>
      <c r="AR12" s="38">
        <f>_xlfn.FLOOR.MATH((($AI12-1)*Characters!$Q$7+Characters!$J$7+$AK$4)*5/2)</f>
        <v>107</v>
      </c>
      <c r="AS12" s="39">
        <f>_xlfn.FLOOR.MATH((($AI12-1)*Characters!$Q$8+Characters!$J$8+$AK$4)*5/2)</f>
        <v>116</v>
      </c>
      <c r="AT12" s="39">
        <f>_xlfn.FLOOR.MATH((($AI12-1)*Characters!$Q$9+Characters!$J$9+$AK$4)*5/2)</f>
        <v>108</v>
      </c>
      <c r="AU12" s="39">
        <f>_xlfn.FLOOR.MATH((($AI12-1)*Characters!$Q$10+Characters!$J$10+$AK$4)*5/2)</f>
        <v>110</v>
      </c>
      <c r="AV12" s="39">
        <f>_xlfn.FLOOR.MATH((($AI12-1)*Characters!$Q$11+Characters!$J$11+$AK$4)*5/2)</f>
        <v>105</v>
      </c>
      <c r="AW12" s="39">
        <f>_xlfn.FLOOR.MATH((($AI12-1)*Characters!$Q$12+Characters!$J$12+$AK$4)*5/2)</f>
        <v>116</v>
      </c>
      <c r="AX12" s="38">
        <f>_xlfn.FLOOR.MATH((($AI12-1)*Characters!$N$7+Characters!$G$7+$AK$2)*10/2) + _xlfn.FLOOR.MATH((($AI12-1)*Characters!$P$7+Characters!$I$7+$AK$3)*5/2)</f>
        <v>52</v>
      </c>
      <c r="AY12" s="39">
        <f>_xlfn.FLOOR.MATH((($AI12-1)*Characters!$N$8+Characters!$G$8+$AK$2)*10/2) + _xlfn.FLOOR.MATH((($AI12-1)*Characters!$P$8+Characters!$I$8+$AK$3)*5/2)</f>
        <v>98</v>
      </c>
      <c r="AZ12" s="39">
        <f>_xlfn.FLOOR.MATH((($AI12-1)*Characters!$N$9+Characters!$G$9+$AK$2)*10/2) + _xlfn.FLOOR.MATH((($AI12-1)*Characters!$P$9+Characters!$I$9+$AK$3)*5/2)</f>
        <v>42</v>
      </c>
      <c r="BA12" s="39">
        <f>_xlfn.FLOOR.MATH((($AI12-1)*Characters!$N$10+Characters!$G$10+$AK$2)*10/2) + _xlfn.FLOOR.MATH((($AI12-1)*Characters!$P$10+Characters!$I$10+$AK$3)*5/2)</f>
        <v>99</v>
      </c>
      <c r="BB12" s="39">
        <f>_xlfn.FLOOR.MATH((($AI12-1)*Characters!$N$11+Characters!$G$11+$AK$2)*10/2) + _xlfn.FLOOR.MATH((($AI12-1)*Characters!$P$11+Characters!$I$11+$AK$3)*5/2)</f>
        <v>45</v>
      </c>
      <c r="BC12" s="33">
        <f>_xlfn.FLOOR.MATH((($AI12-1)*Characters!$N$12+Characters!$G$12+$AK$2)*10/2) + _xlfn.FLOOR.MATH((($AI12-1)*Characters!$P$12+Characters!$I$12+$AK$3)*5/2)</f>
        <v>100</v>
      </c>
    </row>
    <row r="13" spans="1:55" ht="18" customHeight="1">
      <c r="A13" s="38">
        <v>6</v>
      </c>
      <c r="B13" s="20">
        <f t="shared" si="3"/>
        <v>7</v>
      </c>
      <c r="C13" s="20">
        <f t="shared" si="4"/>
        <v>5</v>
      </c>
      <c r="D13" s="52">
        <f t="shared" si="5"/>
        <v>10</v>
      </c>
      <c r="E13" s="52">
        <f t="shared" si="9"/>
        <v>30</v>
      </c>
      <c r="F13" s="67">
        <f t="shared" si="0"/>
        <v>8</v>
      </c>
      <c r="G13" s="52">
        <f t="shared" si="1"/>
        <v>32.15</v>
      </c>
      <c r="H13" s="52">
        <f t="shared" si="6"/>
        <v>96.449999999999989</v>
      </c>
      <c r="I13" s="52">
        <f t="shared" si="7"/>
        <v>64.3</v>
      </c>
      <c r="J13" s="69">
        <f t="shared" si="10"/>
        <v>198.60000000000002</v>
      </c>
      <c r="K13" s="70">
        <f t="shared" si="8"/>
        <v>7</v>
      </c>
      <c r="L13" s="132"/>
      <c r="M13" s="38">
        <f>Characters!$F$13+((Characters!$M$13 )*(Floor!$F13-1))</f>
        <v>570</v>
      </c>
      <c r="N13" s="39">
        <f>Characters!$F$14+((Characters!$M$14 )*(Floor!F13-1))</f>
        <v>570</v>
      </c>
      <c r="O13" s="39">
        <f>Characters!$F$15+((Characters!$M$15 )*(Floor!$F13-1))</f>
        <v>570</v>
      </c>
      <c r="P13" s="39">
        <f>Characters!$F$16+((Characters!$M$16 )*(Floor!$F13-1))</f>
        <v>570</v>
      </c>
      <c r="Q13" s="39">
        <f>Characters!$F$17+((Characters!$M$17)*(Floor!$F13-1))</f>
        <v>570</v>
      </c>
      <c r="R13" s="39">
        <f>Characters!$F$18+((Characters!$M$18 )*(Floor!$F13-1))</f>
        <v>570</v>
      </c>
      <c r="S13" s="33">
        <f>Characters!$F$19+((Characters!$M$19 )*(Floor!$F13-1))</f>
        <v>570</v>
      </c>
      <c r="T13" s="38">
        <f>_xlfn.FLOOR.MATH((Characters!$J$13+Characters!$Q$13*(Floor!$F13-1))*5/2)</f>
        <v>72</v>
      </c>
      <c r="U13" s="39">
        <f>_xlfn.FLOOR.MATH((Characters!$J$14+Characters!$Q$14*(Floor!$F13-1))*5/2)</f>
        <v>72</v>
      </c>
      <c r="V13" s="39">
        <f>_xlfn.FLOOR.MATH((Characters!$J$15+Characters!$Q$15*(Floor!$F13-1))*5/2)</f>
        <v>72</v>
      </c>
      <c r="W13" s="39">
        <f>_xlfn.FLOOR.MATH((Characters!$J$16+Characters!$Q$16*(Floor!$F13-1))*5/2)</f>
        <v>72</v>
      </c>
      <c r="X13" s="39">
        <f>_xlfn.FLOOR.MATH((Characters!$J$17+Characters!$Q$17*(Floor!$F13-1))*5/2)</f>
        <v>72</v>
      </c>
      <c r="Y13" s="39">
        <f>_xlfn.FLOOR.MATH((Characters!$J$18+Characters!$Q$18*(Floor!$F13-1))*5/2)</f>
        <v>72</v>
      </c>
      <c r="Z13" s="39">
        <f>_xlfn.FLOOR.MATH((Characters!$J$19+Characters!$Q$19*(Floor!$F13-1))*5/2)</f>
        <v>72</v>
      </c>
      <c r="AA13" s="38">
        <f>_xlfn.FLOOR.MATH((Characters!$G$13+Characters!$N$13*(Floor!$F13-1))*10/2) + _xlfn.FLOOR.MATH((($AI13-1)*Characters!$P$13+Characters!$I$13)*5/2)</f>
        <v>78</v>
      </c>
      <c r="AB13" s="39">
        <f>_xlfn.FLOOR.MATH((Characters!$G$14+Characters!$N$14*(Floor!$F13-1))*10/2) + _xlfn.FLOOR.MATH((($AI13-1)*Characters!$P$14+Characters!$I$14)*5/2)</f>
        <v>78</v>
      </c>
      <c r="AC13" s="39">
        <f>_xlfn.FLOOR.MATH((Characters!$G$15+Characters!$N$15*(Floor!$F13-1))*10/2) + _xlfn.FLOOR.MATH((($AI13-1)*Characters!$P$15+Characters!$I$15)*5/2)</f>
        <v>78</v>
      </c>
      <c r="AD13" s="39">
        <f>_xlfn.FLOOR.MATH((Characters!$G$16+Characters!$N$16*(Floor!$F13-1))*10/2) + _xlfn.FLOOR.MATH((($AI13-1)*Characters!$P$16+Characters!$I$16)*5/2)</f>
        <v>78</v>
      </c>
      <c r="AE13" s="39">
        <f>_xlfn.FLOOR.MATH((Characters!$G$17+Characters!$N$17*(Floor!$F13-1))*10/2) + _xlfn.FLOOR.MATH((($AI13-1)*Characters!$P$17+Characters!$I$17)*5/2)</f>
        <v>78</v>
      </c>
      <c r="AF13" s="39">
        <f>_xlfn.FLOOR.MATH((Characters!$G$18+Characters!$N$18*(Floor!$F13-1))*10/2) + _xlfn.FLOOR.MATH((($AI13-1)*Characters!$P$18+Characters!$I$18)*5/2)</f>
        <v>78</v>
      </c>
      <c r="AG13" s="33">
        <f>_xlfn.FLOOR.MATH((Characters!$G$19+Characters!$N$19*(Floor!$F13-1))*10/2) + _xlfn.FLOOR.MATH((($AI13-1)*Characters!$P$19+Characters!$I$19)*5/2)</f>
        <v>78</v>
      </c>
      <c r="AH13" s="135"/>
      <c r="AI13" s="38">
        <v>6</v>
      </c>
      <c r="AJ13" s="71">
        <f t="shared" si="2"/>
        <v>39.799999999999997</v>
      </c>
      <c r="AK13" s="105">
        <f t="shared" si="11"/>
        <v>114.4</v>
      </c>
      <c r="AL13" s="38">
        <f>_xlfn.FLOOR.MATH(($AI13-1)*Characters!$M$7+Characters!$F$7)+$AK$5</f>
        <v>4550</v>
      </c>
      <c r="AM13" s="39">
        <f>_xlfn.FLOOR.MATH(($AI13-1)*Characters!$M$8+Characters!$F$8)+$AK$5</f>
        <v>4700</v>
      </c>
      <c r="AN13" s="39">
        <f>_xlfn.FLOOR.MATH(($AI13-1)*Characters!$M$9+Characters!$F$9)+$AK$5</f>
        <v>4455</v>
      </c>
      <c r="AO13" s="39">
        <f>_xlfn.FLOOR.MATH(($AI13-1)*Characters!$M$10+Characters!$F$10)+$AK$5</f>
        <v>4535</v>
      </c>
      <c r="AP13" s="39">
        <f>_xlfn.FLOOR.MATH(($AI13-1)*Characters!$M$11+Characters!$F$11)+$AK$5</f>
        <v>4455</v>
      </c>
      <c r="AQ13" s="39">
        <f>_xlfn.FLOOR.MATH(($AI13-1)*Characters!$M$12+Characters!$F$12)+$AK$5</f>
        <v>4560</v>
      </c>
      <c r="AR13" s="38">
        <f>_xlfn.FLOOR.MATH((($AI13-1)*Characters!$Q$7+Characters!$J$7+$AK$4)*5/2)</f>
        <v>108</v>
      </c>
      <c r="AS13" s="39">
        <f>_xlfn.FLOOR.MATH((($AI13-1)*Characters!$Q$8+Characters!$J$8+$AK$4)*5/2)</f>
        <v>117</v>
      </c>
      <c r="AT13" s="39">
        <f>_xlfn.FLOOR.MATH((($AI13-1)*Characters!$Q$9+Characters!$J$9+$AK$4)*5/2)</f>
        <v>108</v>
      </c>
      <c r="AU13" s="39">
        <f>_xlfn.FLOOR.MATH((($AI13-1)*Characters!$Q$10+Characters!$J$10+$AK$4)*5/2)</f>
        <v>111</v>
      </c>
      <c r="AV13" s="39">
        <f>_xlfn.FLOOR.MATH((($AI13-1)*Characters!$Q$11+Characters!$J$11+$AK$4)*5/2)</f>
        <v>106</v>
      </c>
      <c r="AW13" s="39">
        <f>_xlfn.FLOOR.MATH((($AI13-1)*Characters!$Q$12+Characters!$J$12+$AK$4)*5/2)</f>
        <v>117</v>
      </c>
      <c r="AX13" s="38">
        <f>_xlfn.FLOOR.MATH((($AI13-1)*Characters!$N$7+Characters!$G$7+$AK$2)*10/2) + _xlfn.FLOOR.MATH((($AI13-1)*Characters!$P$7+Characters!$I$7+$AK$3)*5/2)</f>
        <v>55</v>
      </c>
      <c r="AY13" s="39">
        <f>_xlfn.FLOOR.MATH((($AI13-1)*Characters!$N$8+Characters!$G$8+$AK$2)*10/2) + _xlfn.FLOOR.MATH((($AI13-1)*Characters!$P$8+Characters!$I$8+$AK$3)*5/2)</f>
        <v>102</v>
      </c>
      <c r="AZ13" s="39">
        <f>_xlfn.FLOOR.MATH((($AI13-1)*Characters!$N$9+Characters!$G$9+$AK$2)*10/2) + _xlfn.FLOOR.MATH((($AI13-1)*Characters!$P$9+Characters!$I$9+$AK$3)*5/2)</f>
        <v>43</v>
      </c>
      <c r="BA13" s="39">
        <f>_xlfn.FLOOR.MATH((($AI13-1)*Characters!$N$10+Characters!$G$10+$AK$2)*10/2) + _xlfn.FLOOR.MATH((($AI13-1)*Characters!$P$10+Characters!$I$10+$AK$3)*5/2)</f>
        <v>104</v>
      </c>
      <c r="BB13" s="39">
        <f>_xlfn.FLOOR.MATH((($AI13-1)*Characters!$N$11+Characters!$G$11+$AK$2)*10/2) + _xlfn.FLOOR.MATH((($AI13-1)*Characters!$P$11+Characters!$I$11+$AK$3)*5/2)</f>
        <v>47</v>
      </c>
      <c r="BC13" s="33">
        <f>_xlfn.FLOOR.MATH((($AI13-1)*Characters!$N$12+Characters!$G$12+$AK$2)*10/2) + _xlfn.FLOOR.MATH((($AI13-1)*Characters!$P$12+Characters!$I$12+$AK$3)*5/2)</f>
        <v>105</v>
      </c>
    </row>
    <row r="14" spans="1:55" ht="18" customHeight="1">
      <c r="A14" s="38">
        <v>7</v>
      </c>
      <c r="B14" s="20">
        <f t="shared" si="3"/>
        <v>7</v>
      </c>
      <c r="C14" s="20">
        <f t="shared" si="4"/>
        <v>5</v>
      </c>
      <c r="D14" s="52">
        <f t="shared" si="5"/>
        <v>10</v>
      </c>
      <c r="E14" s="52">
        <f t="shared" si="9"/>
        <v>30</v>
      </c>
      <c r="F14" s="67">
        <f t="shared" si="0"/>
        <v>10</v>
      </c>
      <c r="G14" s="52">
        <f t="shared" si="1"/>
        <v>40.15</v>
      </c>
      <c r="H14" s="52">
        <f t="shared" si="6"/>
        <v>120.44999999999999</v>
      </c>
      <c r="I14" s="52">
        <f t="shared" si="7"/>
        <v>80.3</v>
      </c>
      <c r="J14" s="69">
        <f t="shared" si="10"/>
        <v>278.90000000000003</v>
      </c>
      <c r="K14" s="70">
        <f t="shared" si="8"/>
        <v>8</v>
      </c>
      <c r="L14" s="132"/>
      <c r="M14" s="38">
        <f>Characters!$F$13+((Characters!$M$13 )*(Floor!$F14-1))</f>
        <v>690</v>
      </c>
      <c r="N14" s="39">
        <f>Characters!$F$14+((Characters!$M$14 )*(Floor!F14-1))</f>
        <v>690</v>
      </c>
      <c r="O14" s="39">
        <f>Characters!$F$15+((Characters!$M$15 )*(Floor!$F14-1))</f>
        <v>690</v>
      </c>
      <c r="P14" s="39">
        <f>Characters!$F$16+((Characters!$M$16 )*(Floor!$F14-1))</f>
        <v>690</v>
      </c>
      <c r="Q14" s="39">
        <f>Characters!$F$17+((Characters!$M$17)*(Floor!$F14-1))</f>
        <v>690</v>
      </c>
      <c r="R14" s="39">
        <f>Characters!$F$18+((Characters!$M$18 )*(Floor!$F14-1))</f>
        <v>690</v>
      </c>
      <c r="S14" s="33">
        <f>Characters!$F$19+((Characters!$M$19 )*(Floor!$F14-1))</f>
        <v>690</v>
      </c>
      <c r="T14" s="38">
        <f>_xlfn.FLOOR.MATH((Characters!$J$13+Characters!$Q$13*(Floor!$F14-1))*5/2)</f>
        <v>87</v>
      </c>
      <c r="U14" s="39">
        <f>_xlfn.FLOOR.MATH((Characters!$J$14+Characters!$Q$14*(Floor!$F14-1))*5/2)</f>
        <v>87</v>
      </c>
      <c r="V14" s="39">
        <f>_xlfn.FLOOR.MATH((Characters!$J$15+Characters!$Q$15*(Floor!$F14-1))*5/2)</f>
        <v>87</v>
      </c>
      <c r="W14" s="39">
        <f>_xlfn.FLOOR.MATH((Characters!$J$16+Characters!$Q$16*(Floor!$F14-1))*5/2)</f>
        <v>87</v>
      </c>
      <c r="X14" s="39">
        <f>_xlfn.FLOOR.MATH((Characters!$J$17+Characters!$Q$17*(Floor!$F14-1))*5/2)</f>
        <v>87</v>
      </c>
      <c r="Y14" s="39">
        <f>_xlfn.FLOOR.MATH((Characters!$J$18+Characters!$Q$18*(Floor!$F14-1))*5/2)</f>
        <v>87</v>
      </c>
      <c r="Z14" s="39">
        <f>_xlfn.FLOOR.MATH((Characters!$J$19+Characters!$Q$19*(Floor!$F14-1))*5/2)</f>
        <v>87</v>
      </c>
      <c r="AA14" s="38">
        <f>_xlfn.FLOOR.MATH((Characters!$G$13+Characters!$N$13*(Floor!$F14-1))*10/2) + _xlfn.FLOOR.MATH((($AI14-1)*Characters!$P$13+Characters!$I$13)*5/2)</f>
        <v>91</v>
      </c>
      <c r="AB14" s="39">
        <f>_xlfn.FLOOR.MATH((Characters!$G$14+Characters!$N$14*(Floor!$F14-1))*10/2) + _xlfn.FLOOR.MATH((($AI14-1)*Characters!$P$14+Characters!$I$14)*5/2)</f>
        <v>91</v>
      </c>
      <c r="AC14" s="39">
        <f>_xlfn.FLOOR.MATH((Characters!$G$15+Characters!$N$15*(Floor!$F14-1))*10/2) + _xlfn.FLOOR.MATH((($AI14-1)*Characters!$P$15+Characters!$I$15)*5/2)</f>
        <v>91</v>
      </c>
      <c r="AD14" s="39">
        <f>_xlfn.FLOOR.MATH((Characters!$G$16+Characters!$N$16*(Floor!$F14-1))*10/2) + _xlfn.FLOOR.MATH((($AI14-1)*Characters!$P$16+Characters!$I$16)*5/2)</f>
        <v>91</v>
      </c>
      <c r="AE14" s="39">
        <f>_xlfn.FLOOR.MATH((Characters!$G$17+Characters!$N$17*(Floor!$F14-1))*10/2) + _xlfn.FLOOR.MATH((($AI14-1)*Characters!$P$17+Characters!$I$17)*5/2)</f>
        <v>91</v>
      </c>
      <c r="AF14" s="39">
        <f>_xlfn.FLOOR.MATH((Characters!$G$18+Characters!$N$18*(Floor!$F14-1))*10/2) + _xlfn.FLOOR.MATH((($AI14-1)*Characters!$P$18+Characters!$I$18)*5/2)</f>
        <v>91</v>
      </c>
      <c r="AG14" s="33">
        <f>_xlfn.FLOOR.MATH((Characters!$G$19+Characters!$N$19*(Floor!$F14-1))*10/2) + _xlfn.FLOOR.MATH((($AI14-1)*Characters!$P$19+Characters!$I$19)*5/2)</f>
        <v>91</v>
      </c>
      <c r="AH14" s="135"/>
      <c r="AI14" s="38">
        <v>7</v>
      </c>
      <c r="AJ14" s="71">
        <f t="shared" si="2"/>
        <v>52.76</v>
      </c>
      <c r="AK14" s="105">
        <f t="shared" si="11"/>
        <v>167.16</v>
      </c>
      <c r="AL14" s="38">
        <f>_xlfn.FLOOR.MATH(($AI14-1)*Characters!$M$7+Characters!$F$7)+$AK$5</f>
        <v>4580</v>
      </c>
      <c r="AM14" s="39">
        <f>_xlfn.FLOOR.MATH(($AI14-1)*Characters!$M$8+Characters!$F$8)+$AK$5</f>
        <v>4750</v>
      </c>
      <c r="AN14" s="39">
        <f>_xlfn.FLOOR.MATH(($AI14-1)*Characters!$M$9+Characters!$F$9)+$AK$5</f>
        <v>4480</v>
      </c>
      <c r="AO14" s="39">
        <f>_xlfn.FLOOR.MATH(($AI14-1)*Characters!$M$10+Characters!$F$10)+$AK$5</f>
        <v>4570</v>
      </c>
      <c r="AP14" s="39">
        <f>_xlfn.FLOOR.MATH(($AI14-1)*Characters!$M$11+Characters!$F$11)+$AK$5</f>
        <v>4480</v>
      </c>
      <c r="AQ14" s="39">
        <f>_xlfn.FLOOR.MATH(($AI14-1)*Characters!$M$12+Characters!$F$12)+$AK$5</f>
        <v>4600</v>
      </c>
      <c r="AR14" s="38">
        <f>_xlfn.FLOOR.MATH((($AI14-1)*Characters!$Q$7+Characters!$J$7+$AK$4)*5/2)</f>
        <v>110</v>
      </c>
      <c r="AS14" s="39">
        <f>_xlfn.FLOOR.MATH((($AI14-1)*Characters!$Q$8+Characters!$J$8+$AK$4)*5/2)</f>
        <v>119</v>
      </c>
      <c r="AT14" s="39">
        <f>_xlfn.FLOOR.MATH((($AI14-1)*Characters!$Q$9+Characters!$J$9+$AK$4)*5/2)</f>
        <v>109</v>
      </c>
      <c r="AU14" s="39">
        <f>_xlfn.FLOOR.MATH((($AI14-1)*Characters!$Q$10+Characters!$J$10+$AK$4)*5/2)</f>
        <v>112</v>
      </c>
      <c r="AV14" s="39">
        <f>_xlfn.FLOOR.MATH((($AI14-1)*Characters!$Q$11+Characters!$J$11+$AK$4)*5/2)</f>
        <v>107</v>
      </c>
      <c r="AW14" s="39">
        <f>_xlfn.FLOOR.MATH((($AI14-1)*Characters!$Q$12+Characters!$J$12+$AK$4)*5/2)</f>
        <v>119</v>
      </c>
      <c r="AX14" s="38">
        <f>_xlfn.FLOOR.MATH((($AI14-1)*Characters!$N$7+Characters!$G$7+$AK$2)*10/2) + _xlfn.FLOOR.MATH((($AI14-1)*Characters!$P$7+Characters!$I$7+$AK$3)*5/2)</f>
        <v>60</v>
      </c>
      <c r="AY14" s="39">
        <f>_xlfn.FLOOR.MATH((($AI14-1)*Characters!$N$8+Characters!$G$8+$AK$2)*10/2) + _xlfn.FLOOR.MATH((($AI14-1)*Characters!$P$8+Characters!$I$8+$AK$3)*5/2)</f>
        <v>107</v>
      </c>
      <c r="AZ14" s="39">
        <f>_xlfn.FLOOR.MATH((($AI14-1)*Characters!$N$9+Characters!$G$9+$AK$2)*10/2) + _xlfn.FLOOR.MATH((($AI14-1)*Characters!$P$9+Characters!$I$9+$AK$3)*5/2)</f>
        <v>45</v>
      </c>
      <c r="BA14" s="39">
        <f>_xlfn.FLOOR.MATH((($AI14-1)*Characters!$N$10+Characters!$G$10+$AK$2)*10/2) + _xlfn.FLOOR.MATH((($AI14-1)*Characters!$P$10+Characters!$I$10+$AK$3)*5/2)</f>
        <v>110</v>
      </c>
      <c r="BB14" s="39">
        <f>_xlfn.FLOOR.MATH((($AI14-1)*Characters!$N$11+Characters!$G$11+$AK$2)*10/2) + _xlfn.FLOOR.MATH((($AI14-1)*Characters!$P$11+Characters!$I$11+$AK$3)*5/2)</f>
        <v>49</v>
      </c>
      <c r="BC14" s="33">
        <f>_xlfn.FLOOR.MATH((($AI14-1)*Characters!$N$12+Characters!$G$12+$AK$2)*10/2) + _xlfn.FLOOR.MATH((($AI14-1)*Characters!$P$12+Characters!$I$12+$AK$3)*5/2)</f>
        <v>110</v>
      </c>
    </row>
    <row r="15" spans="1:55" ht="18" customHeight="1">
      <c r="A15" s="38">
        <v>8</v>
      </c>
      <c r="B15" s="20">
        <f t="shared" si="3"/>
        <v>7</v>
      </c>
      <c r="C15" s="20">
        <f t="shared" si="4"/>
        <v>5</v>
      </c>
      <c r="D15" s="52">
        <f t="shared" si="5"/>
        <v>10</v>
      </c>
      <c r="E15" s="52">
        <f t="shared" si="9"/>
        <v>30</v>
      </c>
      <c r="F15" s="67">
        <f t="shared" si="0"/>
        <v>11</v>
      </c>
      <c r="G15" s="52">
        <f t="shared" si="1"/>
        <v>44.15</v>
      </c>
      <c r="H15" s="52">
        <f t="shared" si="6"/>
        <v>132.44999999999999</v>
      </c>
      <c r="I15" s="52">
        <f t="shared" si="7"/>
        <v>88.3</v>
      </c>
      <c r="J15" s="69">
        <f t="shared" si="10"/>
        <v>367.20000000000005</v>
      </c>
      <c r="K15" s="70">
        <f t="shared" si="8"/>
        <v>9</v>
      </c>
      <c r="L15" s="132"/>
      <c r="M15" s="38">
        <f>Characters!$F$13+((Characters!$M$13 )*(Floor!$F15-1))</f>
        <v>750</v>
      </c>
      <c r="N15" s="39">
        <f>Characters!$F$14+((Characters!$M$14 )*(Floor!F15-1))</f>
        <v>750</v>
      </c>
      <c r="O15" s="39">
        <f>Characters!$F$15+((Characters!$M$15 )*(Floor!$F15-1))</f>
        <v>750</v>
      </c>
      <c r="P15" s="39">
        <f>Characters!$F$16+((Characters!$M$16 )*(Floor!$F15-1))</f>
        <v>750</v>
      </c>
      <c r="Q15" s="39">
        <f>Characters!$F$17+((Characters!$M$17)*(Floor!$F15-1))</f>
        <v>750</v>
      </c>
      <c r="R15" s="39">
        <f>Characters!$F$18+((Characters!$M$18 )*(Floor!$F15-1))</f>
        <v>750</v>
      </c>
      <c r="S15" s="33">
        <f>Characters!$F$19+((Characters!$M$19 )*(Floor!$F15-1))</f>
        <v>750</v>
      </c>
      <c r="T15" s="38">
        <f>_xlfn.FLOOR.MATH((Characters!$J$13+Characters!$Q$13*(Floor!$F15-1))*5/2)</f>
        <v>95</v>
      </c>
      <c r="U15" s="39">
        <f>_xlfn.FLOOR.MATH((Characters!$J$14+Characters!$Q$14*(Floor!$F15-1))*5/2)</f>
        <v>95</v>
      </c>
      <c r="V15" s="39">
        <f>_xlfn.FLOOR.MATH((Characters!$J$15+Characters!$Q$15*(Floor!$F15-1))*5/2)</f>
        <v>95</v>
      </c>
      <c r="W15" s="39">
        <f>_xlfn.FLOOR.MATH((Characters!$J$16+Characters!$Q$16*(Floor!$F15-1))*5/2)</f>
        <v>95</v>
      </c>
      <c r="X15" s="39">
        <f>_xlfn.FLOOR.MATH((Characters!$J$17+Characters!$Q$17*(Floor!$F15-1))*5/2)</f>
        <v>95</v>
      </c>
      <c r="Y15" s="39">
        <f>_xlfn.FLOOR.MATH((Characters!$J$18+Characters!$Q$18*(Floor!$F15-1))*5/2)</f>
        <v>95</v>
      </c>
      <c r="Z15" s="39">
        <f>_xlfn.FLOOR.MATH((Characters!$J$19+Characters!$Q$19*(Floor!$F15-1))*5/2)</f>
        <v>95</v>
      </c>
      <c r="AA15" s="38">
        <f>_xlfn.FLOOR.MATH((Characters!$G$13+Characters!$N$13*(Floor!$F15-1))*10/2) + _xlfn.FLOOR.MATH((($AI15-1)*Characters!$P$13+Characters!$I$13)*5/2)</f>
        <v>98</v>
      </c>
      <c r="AB15" s="39">
        <f>_xlfn.FLOOR.MATH((Characters!$G$14+Characters!$N$14*(Floor!$F15-1))*10/2) + _xlfn.FLOOR.MATH((($AI15-1)*Characters!$P$14+Characters!$I$14)*5/2)</f>
        <v>98</v>
      </c>
      <c r="AC15" s="39">
        <f>_xlfn.FLOOR.MATH((Characters!$G$15+Characters!$N$15*(Floor!$F15-1))*10/2) + _xlfn.FLOOR.MATH((($AI15-1)*Characters!$P$15+Characters!$I$15)*5/2)</f>
        <v>98</v>
      </c>
      <c r="AD15" s="39">
        <f>_xlfn.FLOOR.MATH((Characters!$G$16+Characters!$N$16*(Floor!$F15-1))*10/2) + _xlfn.FLOOR.MATH((($AI15-1)*Characters!$P$16+Characters!$I$16)*5/2)</f>
        <v>98</v>
      </c>
      <c r="AE15" s="39">
        <f>_xlfn.FLOOR.MATH((Characters!$G$17+Characters!$N$17*(Floor!$F15-1))*10/2) + _xlfn.FLOOR.MATH((($AI15-1)*Characters!$P$17+Characters!$I$17)*5/2)</f>
        <v>98</v>
      </c>
      <c r="AF15" s="39">
        <f>_xlfn.FLOOR.MATH((Characters!$G$18+Characters!$N$18*(Floor!$F15-1))*10/2) + _xlfn.FLOOR.MATH((($AI15-1)*Characters!$P$18+Characters!$I$18)*5/2)</f>
        <v>98</v>
      </c>
      <c r="AG15" s="33">
        <f>_xlfn.FLOOR.MATH((Characters!$G$19+Characters!$N$19*(Floor!$F15-1))*10/2) + _xlfn.FLOOR.MATH((($AI15-1)*Characters!$P$19+Characters!$I$19)*5/2)</f>
        <v>98</v>
      </c>
      <c r="AH15" s="135"/>
      <c r="AI15" s="38">
        <v>8</v>
      </c>
      <c r="AJ15" s="71">
        <f t="shared" si="2"/>
        <v>67.72</v>
      </c>
      <c r="AK15" s="105">
        <f t="shared" si="11"/>
        <v>234.88</v>
      </c>
      <c r="AL15" s="38">
        <f>_xlfn.FLOOR.MATH(($AI15-1)*Characters!$M$7+Characters!$F$7)+$AK$5</f>
        <v>4610</v>
      </c>
      <c r="AM15" s="39">
        <f>_xlfn.FLOOR.MATH(($AI15-1)*Characters!$M$8+Characters!$F$8)+$AK$5</f>
        <v>4800</v>
      </c>
      <c r="AN15" s="39">
        <f>_xlfn.FLOOR.MATH(($AI15-1)*Characters!$M$9+Characters!$F$9)+$AK$5</f>
        <v>4505</v>
      </c>
      <c r="AO15" s="39">
        <f>_xlfn.FLOOR.MATH(($AI15-1)*Characters!$M$10+Characters!$F$10)+$AK$5</f>
        <v>4605</v>
      </c>
      <c r="AP15" s="39">
        <f>_xlfn.FLOOR.MATH(($AI15-1)*Characters!$M$11+Characters!$F$11)+$AK$5</f>
        <v>4505</v>
      </c>
      <c r="AQ15" s="39">
        <f>_xlfn.FLOOR.MATH(($AI15-1)*Characters!$M$12+Characters!$F$12)+$AK$5</f>
        <v>4640</v>
      </c>
      <c r="AR15" s="38">
        <f>_xlfn.FLOOR.MATH((($AI15-1)*Characters!$Q$7+Characters!$J$7+$AK$4)*5/2)</f>
        <v>111</v>
      </c>
      <c r="AS15" s="39">
        <f>_xlfn.FLOOR.MATH((($AI15-1)*Characters!$Q$8+Characters!$J$8+$AK$4)*5/2)</f>
        <v>120</v>
      </c>
      <c r="AT15" s="39">
        <f>_xlfn.FLOOR.MATH((($AI15-1)*Characters!$Q$9+Characters!$J$9+$AK$4)*5/2)</f>
        <v>110</v>
      </c>
      <c r="AU15" s="39">
        <f>_xlfn.FLOOR.MATH((($AI15-1)*Characters!$Q$10+Characters!$J$10+$AK$4)*5/2)</f>
        <v>113</v>
      </c>
      <c r="AV15" s="39">
        <f>_xlfn.FLOOR.MATH((($AI15-1)*Characters!$Q$11+Characters!$J$11+$AK$4)*5/2)</f>
        <v>107</v>
      </c>
      <c r="AW15" s="39">
        <f>_xlfn.FLOOR.MATH((($AI15-1)*Characters!$Q$12+Characters!$J$12+$AK$4)*5/2)</f>
        <v>120</v>
      </c>
      <c r="AX15" s="38">
        <f>_xlfn.FLOOR.MATH((($AI15-1)*Characters!$N$7+Characters!$G$7+$AK$2)*10/2) + _xlfn.FLOOR.MATH((($AI15-1)*Characters!$P$7+Characters!$I$7+$AK$3)*5/2)</f>
        <v>63</v>
      </c>
      <c r="AY15" s="39">
        <f>_xlfn.FLOOR.MATH((($AI15-1)*Characters!$N$8+Characters!$G$8+$AK$2)*10/2) + _xlfn.FLOOR.MATH((($AI15-1)*Characters!$P$8+Characters!$I$8+$AK$3)*5/2)</f>
        <v>111</v>
      </c>
      <c r="AZ15" s="39">
        <f>_xlfn.FLOOR.MATH((($AI15-1)*Characters!$N$9+Characters!$G$9+$AK$2)*10/2) + _xlfn.FLOOR.MATH((($AI15-1)*Characters!$P$9+Characters!$I$9+$AK$3)*5/2)</f>
        <v>47</v>
      </c>
      <c r="BA15" s="39">
        <f>_xlfn.FLOOR.MATH((($AI15-1)*Characters!$N$10+Characters!$G$10+$AK$2)*10/2) + _xlfn.FLOOR.MATH((($AI15-1)*Characters!$P$10+Characters!$I$10+$AK$3)*5/2)</f>
        <v>115</v>
      </c>
      <c r="BB15" s="39">
        <f>_xlfn.FLOOR.MATH((($AI15-1)*Characters!$N$11+Characters!$G$11+$AK$2)*10/2) + _xlfn.FLOOR.MATH((($AI15-1)*Characters!$P$11+Characters!$I$11+$AK$3)*5/2)</f>
        <v>51</v>
      </c>
      <c r="BC15" s="33">
        <f>_xlfn.FLOOR.MATH((($AI15-1)*Characters!$N$12+Characters!$G$12+$AK$2)*10/2) + _xlfn.FLOOR.MATH((($AI15-1)*Characters!$P$12+Characters!$I$12+$AK$3)*5/2)</f>
        <v>115</v>
      </c>
    </row>
    <row r="16" spans="1:55" ht="18" customHeight="1">
      <c r="A16" s="38">
        <v>9</v>
      </c>
      <c r="B16" s="20">
        <f t="shared" si="3"/>
        <v>7</v>
      </c>
      <c r="C16" s="20">
        <f t="shared" si="4"/>
        <v>5</v>
      </c>
      <c r="D16" s="52">
        <f t="shared" si="5"/>
        <v>10</v>
      </c>
      <c r="E16" s="52">
        <f t="shared" si="9"/>
        <v>30</v>
      </c>
      <c r="F16" s="67">
        <f t="shared" si="0"/>
        <v>13</v>
      </c>
      <c r="G16" s="52">
        <f t="shared" si="1"/>
        <v>52.15</v>
      </c>
      <c r="H16" s="52">
        <f t="shared" si="6"/>
        <v>156.44999999999999</v>
      </c>
      <c r="I16" s="52">
        <f t="shared" si="7"/>
        <v>104.3</v>
      </c>
      <c r="J16" s="69">
        <f t="shared" si="10"/>
        <v>471.50000000000006</v>
      </c>
      <c r="K16" s="70">
        <f t="shared" si="8"/>
        <v>10</v>
      </c>
      <c r="L16" s="132"/>
      <c r="M16" s="38">
        <f>Characters!$F$13+((Characters!$M$13 )*(Floor!$F16-1))</f>
        <v>870</v>
      </c>
      <c r="N16" s="39">
        <f>Characters!$F$14+((Characters!$M$14 )*(Floor!F16-1))</f>
        <v>870</v>
      </c>
      <c r="O16" s="39">
        <f>Characters!$F$15+((Characters!$M$15 )*(Floor!$F16-1))</f>
        <v>870</v>
      </c>
      <c r="P16" s="39">
        <f>Characters!$F$16+((Characters!$M$16 )*(Floor!$F16-1))</f>
        <v>870</v>
      </c>
      <c r="Q16" s="39">
        <f>Characters!$F$17+((Characters!$M$17)*(Floor!$F16-1))</f>
        <v>870</v>
      </c>
      <c r="R16" s="39">
        <f>Characters!$F$18+((Characters!$M$18 )*(Floor!$F16-1))</f>
        <v>870</v>
      </c>
      <c r="S16" s="33">
        <f>Characters!$F$19+((Characters!$M$19 )*(Floor!$F16-1))</f>
        <v>870</v>
      </c>
      <c r="T16" s="38">
        <f>_xlfn.FLOOR.MATH((Characters!$J$13+Characters!$Q$13*(Floor!$F16-1))*5/2)</f>
        <v>110</v>
      </c>
      <c r="U16" s="39">
        <f>_xlfn.FLOOR.MATH((Characters!$J$14+Characters!$Q$14*(Floor!$F16-1))*5/2)</f>
        <v>110</v>
      </c>
      <c r="V16" s="39">
        <f>_xlfn.FLOOR.MATH((Characters!$J$15+Characters!$Q$15*(Floor!$F16-1))*5/2)</f>
        <v>110</v>
      </c>
      <c r="W16" s="39">
        <f>_xlfn.FLOOR.MATH((Characters!$J$16+Characters!$Q$16*(Floor!$F16-1))*5/2)</f>
        <v>110</v>
      </c>
      <c r="X16" s="39">
        <f>_xlfn.FLOOR.MATH((Characters!$J$17+Characters!$Q$17*(Floor!$F16-1))*5/2)</f>
        <v>110</v>
      </c>
      <c r="Y16" s="39">
        <f>_xlfn.FLOOR.MATH((Characters!$J$18+Characters!$Q$18*(Floor!$F16-1))*5/2)</f>
        <v>110</v>
      </c>
      <c r="Z16" s="39">
        <f>_xlfn.FLOOR.MATH((Characters!$J$19+Characters!$Q$19*(Floor!$F16-1))*5/2)</f>
        <v>110</v>
      </c>
      <c r="AA16" s="38">
        <f>_xlfn.FLOOR.MATH((Characters!$G$13+Characters!$N$13*(Floor!$F16-1))*10/2) + _xlfn.FLOOR.MATH((($AI16-1)*Characters!$P$13+Characters!$I$13)*5/2)</f>
        <v>112</v>
      </c>
      <c r="AB16" s="39">
        <f>_xlfn.FLOOR.MATH((Characters!$G$14+Characters!$N$14*(Floor!$F16-1))*10/2) + _xlfn.FLOOR.MATH((($AI16-1)*Characters!$P$14+Characters!$I$14)*5/2)</f>
        <v>112</v>
      </c>
      <c r="AC16" s="39">
        <f>_xlfn.FLOOR.MATH((Characters!$G$15+Characters!$N$15*(Floor!$F16-1))*10/2) + _xlfn.FLOOR.MATH((($AI16-1)*Characters!$P$15+Characters!$I$15)*5/2)</f>
        <v>112</v>
      </c>
      <c r="AD16" s="39">
        <f>_xlfn.FLOOR.MATH((Characters!$G$16+Characters!$N$16*(Floor!$F16-1))*10/2) + _xlfn.FLOOR.MATH((($AI16-1)*Characters!$P$16+Characters!$I$16)*5/2)</f>
        <v>112</v>
      </c>
      <c r="AE16" s="39">
        <f>_xlfn.FLOOR.MATH((Characters!$G$17+Characters!$N$17*(Floor!$F16-1))*10/2) + _xlfn.FLOOR.MATH((($AI16-1)*Characters!$P$17+Characters!$I$17)*5/2)</f>
        <v>112</v>
      </c>
      <c r="AF16" s="39">
        <f>_xlfn.FLOOR.MATH((Characters!$G$18+Characters!$N$18*(Floor!$F16-1))*10/2) + _xlfn.FLOOR.MATH((($AI16-1)*Characters!$P$18+Characters!$I$18)*5/2)</f>
        <v>112</v>
      </c>
      <c r="AG16" s="33">
        <f>_xlfn.FLOOR.MATH((Characters!$G$19+Characters!$N$19*(Floor!$F16-1))*10/2) + _xlfn.FLOOR.MATH((($AI16-1)*Characters!$P$19+Characters!$I$19)*5/2)</f>
        <v>112</v>
      </c>
      <c r="AH16" s="136"/>
      <c r="AI16" s="102">
        <v>9</v>
      </c>
      <c r="AJ16" s="106">
        <f t="shared" si="2"/>
        <v>84.68</v>
      </c>
      <c r="AK16" s="107">
        <f t="shared" si="11"/>
        <v>319.56</v>
      </c>
      <c r="AL16" s="102">
        <f>_xlfn.FLOOR.MATH(($AI16-1)*Characters!$M$7+Characters!$F$7)+$AK$5</f>
        <v>4640</v>
      </c>
      <c r="AM16" s="103">
        <f>_xlfn.FLOOR.MATH(($AI16-1)*Characters!$M$8+Characters!$F$8)+$AK$5</f>
        <v>4850</v>
      </c>
      <c r="AN16" s="103">
        <f>_xlfn.FLOOR.MATH(($AI16-1)*Characters!$M$9+Characters!$F$9)+$AK$5</f>
        <v>4530</v>
      </c>
      <c r="AO16" s="103">
        <f>_xlfn.FLOOR.MATH(($AI16-1)*Characters!$M$10+Characters!$F$10)+$AK$5</f>
        <v>4640</v>
      </c>
      <c r="AP16" s="103">
        <f>_xlfn.FLOOR.MATH(($AI16-1)*Characters!$M$11+Characters!$F$11)+$AK$5</f>
        <v>4530</v>
      </c>
      <c r="AQ16" s="103">
        <f>_xlfn.FLOOR.MATH(($AI16-1)*Characters!$M$12+Characters!$F$12)+$AK$5</f>
        <v>4680</v>
      </c>
      <c r="AR16" s="102">
        <f>_xlfn.FLOOR.MATH((($AI16-1)*Characters!$Q$7+Characters!$J$7+$AK$4)*5/2)</f>
        <v>112</v>
      </c>
      <c r="AS16" s="103">
        <f>_xlfn.FLOOR.MATH((($AI16-1)*Characters!$Q$8+Characters!$J$8+$AK$4)*5/2)</f>
        <v>122</v>
      </c>
      <c r="AT16" s="103">
        <f>_xlfn.FLOOR.MATH((($AI16-1)*Characters!$Q$9+Characters!$J$9+$AK$4)*5/2)</f>
        <v>111</v>
      </c>
      <c r="AU16" s="103">
        <f>_xlfn.FLOOR.MATH((($AI16-1)*Characters!$Q$10+Characters!$J$10+$AK$4)*5/2)</f>
        <v>115</v>
      </c>
      <c r="AV16" s="103">
        <f>_xlfn.FLOOR.MATH((($AI16-1)*Characters!$Q$11+Characters!$J$11+$AK$4)*5/2)</f>
        <v>108</v>
      </c>
      <c r="AW16" s="103">
        <f>_xlfn.FLOOR.MATH((($AI16-1)*Characters!$Q$12+Characters!$J$12+$AK$4)*5/2)</f>
        <v>122</v>
      </c>
      <c r="AX16" s="102">
        <f>_xlfn.FLOOR.MATH((($AI16-1)*Characters!$N$7+Characters!$G$7+$AK$2)*10/2) + _xlfn.FLOOR.MATH((($AI16-1)*Characters!$P$7+Characters!$I$7+$AK$3)*5/2)</f>
        <v>67</v>
      </c>
      <c r="AY16" s="103">
        <f>_xlfn.FLOOR.MATH((($AI16-1)*Characters!$N$8+Characters!$G$8+$AK$2)*10/2) + _xlfn.FLOOR.MATH((($AI16-1)*Characters!$P$8+Characters!$I$8+$AK$3)*5/2)</f>
        <v>116</v>
      </c>
      <c r="AZ16" s="103">
        <f>_xlfn.FLOOR.MATH((($AI16-1)*Characters!$N$9+Characters!$G$9+$AK$2)*10/2) + _xlfn.FLOOR.MATH((($AI16-1)*Characters!$P$9+Characters!$I$9+$AK$3)*5/2)</f>
        <v>49</v>
      </c>
      <c r="BA16" s="103">
        <f>_xlfn.FLOOR.MATH((($AI16-1)*Characters!$N$10+Characters!$G$10+$AK$2)*10/2) + _xlfn.FLOOR.MATH((($AI16-1)*Characters!$P$10+Characters!$I$10+$AK$3)*5/2)</f>
        <v>121</v>
      </c>
      <c r="BB16" s="103">
        <f>_xlfn.FLOOR.MATH((($AI16-1)*Characters!$N$11+Characters!$G$11+$AK$2)*10/2) + _xlfn.FLOOR.MATH((($AI16-1)*Characters!$P$11+Characters!$I$11+$AK$3)*5/2)</f>
        <v>53</v>
      </c>
      <c r="BC16" s="104">
        <f>_xlfn.FLOOR.MATH((($AI16-1)*Characters!$N$12+Characters!$G$12+$AK$2)*10/2) + _xlfn.FLOOR.MATH((($AI16-1)*Characters!$P$12+Characters!$I$12+$AK$3)*5/2)</f>
        <v>120</v>
      </c>
    </row>
    <row r="17" spans="1:55" ht="18" customHeight="1">
      <c r="A17" s="38">
        <v>10</v>
      </c>
      <c r="B17" s="20">
        <f t="shared" si="3"/>
        <v>8</v>
      </c>
      <c r="C17" s="20">
        <f t="shared" si="4"/>
        <v>6</v>
      </c>
      <c r="D17" s="52">
        <f t="shared" si="5"/>
        <v>12</v>
      </c>
      <c r="E17" s="52">
        <f t="shared" si="9"/>
        <v>36</v>
      </c>
      <c r="F17" s="67">
        <f t="shared" si="0"/>
        <v>14</v>
      </c>
      <c r="G17" s="52">
        <f t="shared" si="1"/>
        <v>67.350000000000009</v>
      </c>
      <c r="H17" s="52">
        <f t="shared" si="6"/>
        <v>202.05</v>
      </c>
      <c r="I17" s="52">
        <f t="shared" si="7"/>
        <v>134.70000000000002</v>
      </c>
      <c r="J17" s="69">
        <f t="shared" si="10"/>
        <v>606.20000000000005</v>
      </c>
      <c r="K17" s="70">
        <f t="shared" si="8"/>
        <v>11</v>
      </c>
      <c r="L17" s="132"/>
      <c r="M17" s="102">
        <f>Characters!$F$13+((Characters!$M$13 )*(Floor!$F17-1))</f>
        <v>930</v>
      </c>
      <c r="N17" s="103">
        <f>Characters!$F$14+((Characters!$M$14 )*(Floor!F17-1))</f>
        <v>930</v>
      </c>
      <c r="O17" s="103">
        <f>Characters!$F$15+((Characters!$M$15 )*(Floor!$F17-1))</f>
        <v>930</v>
      </c>
      <c r="P17" s="103">
        <f>Characters!$F$16+((Characters!$M$16 )*(Floor!$F17-1))</f>
        <v>930</v>
      </c>
      <c r="Q17" s="103">
        <f>Characters!$F$17+((Characters!$M$17)*(Floor!$F17-1))</f>
        <v>930</v>
      </c>
      <c r="R17" s="103">
        <f>Characters!$F$18+((Characters!$M$18 )*(Floor!$F17-1))</f>
        <v>930</v>
      </c>
      <c r="S17" s="104">
        <f>Characters!$F$19+((Characters!$M$19 )*(Floor!$F17-1))</f>
        <v>930</v>
      </c>
      <c r="T17" s="102">
        <f>_xlfn.FLOOR.MATH((Characters!$J$13+Characters!$Q$13*(Floor!$F17-1))*5/2)</f>
        <v>117</v>
      </c>
      <c r="U17" s="103">
        <f>_xlfn.FLOOR.MATH((Characters!$J$14+Characters!$Q$14*(Floor!$F17-1))*5/2)</f>
        <v>117</v>
      </c>
      <c r="V17" s="103">
        <f>_xlfn.FLOOR.MATH((Characters!$J$15+Characters!$Q$15*(Floor!$F17-1))*5/2)</f>
        <v>117</v>
      </c>
      <c r="W17" s="103">
        <f>_xlfn.FLOOR.MATH((Characters!$J$16+Characters!$Q$16*(Floor!$F17-1))*5/2)</f>
        <v>117</v>
      </c>
      <c r="X17" s="103">
        <f>_xlfn.FLOOR.MATH((Characters!$J$17+Characters!$Q$17*(Floor!$F17-1))*5/2)</f>
        <v>117</v>
      </c>
      <c r="Y17" s="103">
        <f>_xlfn.FLOOR.MATH((Characters!$J$18+Characters!$Q$18*(Floor!$F17-1))*5/2)</f>
        <v>117</v>
      </c>
      <c r="Z17" s="103">
        <f>_xlfn.FLOOR.MATH((Characters!$J$19+Characters!$Q$19*(Floor!$F17-1))*5/2)</f>
        <v>117</v>
      </c>
      <c r="AA17" s="102">
        <f>_xlfn.FLOOR.MATH((Characters!$G$13+Characters!$N$13*(Floor!$F17-1))*10/2) + _xlfn.FLOOR.MATH((($AI17-1)*Characters!$P$13+Characters!$I$13)*5/2)</f>
        <v>119</v>
      </c>
      <c r="AB17" s="103">
        <f>_xlfn.FLOOR.MATH((Characters!$G$14+Characters!$N$14*(Floor!$F17-1))*10/2) + _xlfn.FLOOR.MATH((($AI17-1)*Characters!$P$14+Characters!$I$14)*5/2)</f>
        <v>119</v>
      </c>
      <c r="AC17" s="103">
        <f>_xlfn.FLOOR.MATH((Characters!$G$15+Characters!$N$15*(Floor!$F17-1))*10/2) + _xlfn.FLOOR.MATH((($AI17-1)*Characters!$P$15+Characters!$I$15)*5/2)</f>
        <v>119</v>
      </c>
      <c r="AD17" s="103">
        <f>_xlfn.FLOOR.MATH((Characters!$G$16+Characters!$N$16*(Floor!$F17-1))*10/2) + _xlfn.FLOOR.MATH((($AI17-1)*Characters!$P$16+Characters!$I$16)*5/2)</f>
        <v>119</v>
      </c>
      <c r="AE17" s="103">
        <f>_xlfn.FLOOR.MATH((Characters!$G$17+Characters!$N$17*(Floor!$F17-1))*10/2) + _xlfn.FLOOR.MATH((($AI17-1)*Characters!$P$17+Characters!$I$17)*5/2)</f>
        <v>119</v>
      </c>
      <c r="AF17" s="103">
        <f>_xlfn.FLOOR.MATH((Characters!$G$18+Characters!$N$18*(Floor!$F17-1))*10/2) + _xlfn.FLOOR.MATH((($AI17-1)*Characters!$P$18+Characters!$I$18)*5/2)</f>
        <v>119</v>
      </c>
      <c r="AG17" s="104">
        <f>_xlfn.FLOOR.MATH((Characters!$G$19+Characters!$N$19*(Floor!$F17-1))*10/2) + _xlfn.FLOOR.MATH((($AI17-1)*Characters!$P$19+Characters!$I$19)*5/2)</f>
        <v>119</v>
      </c>
      <c r="AH17" s="136"/>
      <c r="AI17" s="38">
        <v>10</v>
      </c>
      <c r="AJ17" s="71">
        <f t="shared" si="2"/>
        <v>103.64</v>
      </c>
      <c r="AK17" s="105">
        <f t="shared" si="11"/>
        <v>423.2</v>
      </c>
      <c r="AL17" s="38">
        <f>_xlfn.FLOOR.MATH(($AI17-1)*Characters!$M$7+Characters!$F$7)+$AK$5</f>
        <v>4670</v>
      </c>
      <c r="AM17" s="39">
        <f>_xlfn.FLOOR.MATH(($AI17-1)*Characters!$M$8+Characters!$F$8)+$AK$5</f>
        <v>4900</v>
      </c>
      <c r="AN17" s="39">
        <f>_xlfn.FLOOR.MATH(($AI17-1)*Characters!$M$9+Characters!$F$9)+$AK$5</f>
        <v>4555</v>
      </c>
      <c r="AO17" s="39">
        <f>_xlfn.FLOOR.MATH(($AI17-1)*Characters!$M$10+Characters!$F$10)+$AK$5</f>
        <v>4675</v>
      </c>
      <c r="AP17" s="39">
        <f>_xlfn.FLOOR.MATH(($AI17-1)*Characters!$M$11+Characters!$F$11)+$AK$5</f>
        <v>4555</v>
      </c>
      <c r="AQ17" s="39">
        <f>_xlfn.FLOOR.MATH(($AI17-1)*Characters!$M$12+Characters!$F$12)+$AK$5</f>
        <v>4720</v>
      </c>
      <c r="AR17" s="38">
        <f>_xlfn.FLOOR.MATH((($AI17-1)*Characters!$Q$7+Characters!$J$7+$AK$4)*5/2)</f>
        <v>113</v>
      </c>
      <c r="AS17" s="39">
        <f>_xlfn.FLOOR.MATH((($AI17-1)*Characters!$Q$8+Characters!$J$8+$AK$4)*5/2)</f>
        <v>123</v>
      </c>
      <c r="AT17" s="39">
        <f>_xlfn.FLOOR.MATH((($AI17-1)*Characters!$Q$9+Characters!$J$9+$AK$4)*5/2)</f>
        <v>111</v>
      </c>
      <c r="AU17" s="39">
        <f>_xlfn.FLOOR.MATH((($AI17-1)*Characters!$Q$10+Characters!$J$10+$AK$4)*5/2)</f>
        <v>116</v>
      </c>
      <c r="AV17" s="39">
        <f>_xlfn.FLOOR.MATH((($AI17-1)*Characters!$Q$11+Characters!$J$11+$AK$4)*5/2)</f>
        <v>109</v>
      </c>
      <c r="AW17" s="39">
        <f>_xlfn.FLOOR.MATH((($AI17-1)*Characters!$Q$12+Characters!$J$12+$AK$4)*5/2)</f>
        <v>123</v>
      </c>
      <c r="AX17" s="38">
        <f>_xlfn.FLOOR.MATH((($AI17-1)*Characters!$N$7+Characters!$G$7+$AK$2)*10/2) + _xlfn.FLOOR.MATH((($AI17-1)*Characters!$P$7+Characters!$I$7+$AK$3)*5/2)</f>
        <v>70</v>
      </c>
      <c r="AY17" s="39">
        <f>_xlfn.FLOOR.MATH((($AI17-1)*Characters!$N$8+Characters!$G$8+$AK$2)*10/2) + _xlfn.FLOOR.MATH((($AI17-1)*Characters!$P$8+Characters!$I$8+$AK$3)*5/2)</f>
        <v>120</v>
      </c>
      <c r="AZ17" s="39">
        <f>_xlfn.FLOOR.MATH((($AI17-1)*Characters!$N$9+Characters!$G$9+$AK$2)*10/2) + _xlfn.FLOOR.MATH((($AI17-1)*Characters!$P$9+Characters!$I$9+$AK$3)*5/2)</f>
        <v>50</v>
      </c>
      <c r="BA17" s="39">
        <f>_xlfn.FLOOR.MATH((($AI17-1)*Characters!$N$10+Characters!$G$10+$AK$2)*10/2) + _xlfn.FLOOR.MATH((($AI17-1)*Characters!$P$10+Characters!$I$10+$AK$3)*5/2)</f>
        <v>126</v>
      </c>
      <c r="BB17" s="39">
        <f>_xlfn.FLOOR.MATH((($AI17-1)*Characters!$N$11+Characters!$G$11+$AK$2)*10/2) + _xlfn.FLOOR.MATH((($AI17-1)*Characters!$P$11+Characters!$I$11+$AK$3)*5/2)</f>
        <v>55</v>
      </c>
      <c r="BC17" s="33">
        <f>_xlfn.FLOOR.MATH((($AI17-1)*Characters!$N$12+Characters!$G$12+$AK$2)*10/2) + _xlfn.FLOOR.MATH((($AI17-1)*Characters!$P$12+Characters!$I$12+$AK$3)*5/2)</f>
        <v>125</v>
      </c>
    </row>
    <row r="18" spans="1:55" ht="18" customHeight="1">
      <c r="A18" s="38">
        <v>11</v>
      </c>
      <c r="B18" s="20">
        <f t="shared" si="3"/>
        <v>8</v>
      </c>
      <c r="C18" s="20">
        <f t="shared" si="4"/>
        <v>6</v>
      </c>
      <c r="D18" s="52">
        <f t="shared" si="5"/>
        <v>12</v>
      </c>
      <c r="E18" s="52">
        <f t="shared" si="9"/>
        <v>36</v>
      </c>
      <c r="F18" s="67">
        <f t="shared" si="0"/>
        <v>16</v>
      </c>
      <c r="G18" s="52">
        <f t="shared" si="1"/>
        <v>76.950000000000017</v>
      </c>
      <c r="H18" s="52">
        <f t="shared" si="6"/>
        <v>230.85000000000005</v>
      </c>
      <c r="I18" s="52">
        <f t="shared" si="7"/>
        <v>153.90000000000003</v>
      </c>
      <c r="J18" s="69">
        <f t="shared" si="10"/>
        <v>760.10000000000014</v>
      </c>
      <c r="K18" s="70">
        <f t="shared" si="8"/>
        <v>12</v>
      </c>
      <c r="L18" s="132"/>
      <c r="M18" s="38">
        <f>Characters!$F$13+((Characters!$M$13 )*(Floor!$F18-1))</f>
        <v>1050</v>
      </c>
      <c r="N18" s="39">
        <f>Characters!$F$14+((Characters!$M$14 )*(Floor!F18-1))</f>
        <v>1050</v>
      </c>
      <c r="O18" s="39">
        <f>Characters!$F$15+((Characters!$M$15 )*(Floor!$F18-1))</f>
        <v>1050</v>
      </c>
      <c r="P18" s="39">
        <f>Characters!$F$16+((Characters!$M$16 )*(Floor!$F18-1))</f>
        <v>1050</v>
      </c>
      <c r="Q18" s="39">
        <f>Characters!$F$17+((Characters!$M$17)*(Floor!$F18-1))</f>
        <v>1050</v>
      </c>
      <c r="R18" s="39">
        <f>Characters!$F$18+((Characters!$M$18 )*(Floor!$F18-1))</f>
        <v>1050</v>
      </c>
      <c r="S18" s="33">
        <f>Characters!$F$19+((Characters!$M$19 )*(Floor!$F18-1))</f>
        <v>1050</v>
      </c>
      <c r="T18" s="38">
        <f>_xlfn.FLOOR.MATH((Characters!$J$13+Characters!$Q$13*(Floor!$F18-1))*5/2)</f>
        <v>132</v>
      </c>
      <c r="U18" s="39">
        <f>_xlfn.FLOOR.MATH((Characters!$J$14+Characters!$Q$14*(Floor!$F18-1))*5/2)</f>
        <v>132</v>
      </c>
      <c r="V18" s="39">
        <f>_xlfn.FLOOR.MATH((Characters!$J$15+Characters!$Q$15*(Floor!$F18-1))*5/2)</f>
        <v>132</v>
      </c>
      <c r="W18" s="39">
        <f>_xlfn.FLOOR.MATH((Characters!$J$16+Characters!$Q$16*(Floor!$F18-1))*5/2)</f>
        <v>132</v>
      </c>
      <c r="X18" s="39">
        <f>_xlfn.FLOOR.MATH((Characters!$J$17+Characters!$Q$17*(Floor!$F18-1))*5/2)</f>
        <v>132</v>
      </c>
      <c r="Y18" s="39">
        <f>_xlfn.FLOOR.MATH((Characters!$J$18+Characters!$Q$18*(Floor!$F18-1))*5/2)</f>
        <v>132</v>
      </c>
      <c r="Z18" s="39">
        <f>_xlfn.FLOOR.MATH((Characters!$J$19+Characters!$Q$19*(Floor!$F18-1))*5/2)</f>
        <v>132</v>
      </c>
      <c r="AA18" s="38">
        <f>_xlfn.FLOOR.MATH((Characters!$G$13+Characters!$N$13*(Floor!$F18-1))*10/2) + _xlfn.FLOOR.MATH((($AI18-1)*Characters!$P$13+Characters!$I$13)*5/2)</f>
        <v>132</v>
      </c>
      <c r="AB18" s="39">
        <f>_xlfn.FLOOR.MATH((Characters!$G$14+Characters!$N$14*(Floor!$F18-1))*10/2) + _xlfn.FLOOR.MATH((($AI18-1)*Characters!$P$14+Characters!$I$14)*5/2)</f>
        <v>132</v>
      </c>
      <c r="AC18" s="39">
        <f>_xlfn.FLOOR.MATH((Characters!$G$15+Characters!$N$15*(Floor!$F18-1))*10/2) + _xlfn.FLOOR.MATH((($AI18-1)*Characters!$P$15+Characters!$I$15)*5/2)</f>
        <v>132</v>
      </c>
      <c r="AD18" s="39">
        <f>_xlfn.FLOOR.MATH((Characters!$G$16+Characters!$N$16*(Floor!$F18-1))*10/2) + _xlfn.FLOOR.MATH((($AI18-1)*Characters!$P$16+Characters!$I$16)*5/2)</f>
        <v>132</v>
      </c>
      <c r="AE18" s="39">
        <f>_xlfn.FLOOR.MATH((Characters!$G$17+Characters!$N$17*(Floor!$F18-1))*10/2) + _xlfn.FLOOR.MATH((($AI18-1)*Characters!$P$17+Characters!$I$17)*5/2)</f>
        <v>132</v>
      </c>
      <c r="AF18" s="39">
        <f>_xlfn.FLOOR.MATH((Characters!$G$18+Characters!$N$18*(Floor!$F18-1))*10/2) + _xlfn.FLOOR.MATH((($AI18-1)*Characters!$P$18+Characters!$I$18)*5/2)</f>
        <v>132</v>
      </c>
      <c r="AG18" s="33">
        <f>_xlfn.FLOOR.MATH((Characters!$G$19+Characters!$N$19*(Floor!$F18-1))*10/2) + _xlfn.FLOOR.MATH((($AI18-1)*Characters!$P$19+Characters!$I$19)*5/2)</f>
        <v>132</v>
      </c>
      <c r="AH18" s="136"/>
      <c r="AI18" s="38">
        <v>11</v>
      </c>
      <c r="AJ18" s="71">
        <f t="shared" si="2"/>
        <v>124.60000000000001</v>
      </c>
      <c r="AK18" s="105">
        <f t="shared" si="11"/>
        <v>547.79999999999995</v>
      </c>
      <c r="AL18" s="38">
        <f>_xlfn.FLOOR.MATH(($AI18-1)*Characters!$M$7+Characters!$F$7)+$AK$5</f>
        <v>4700</v>
      </c>
      <c r="AM18" s="39">
        <f>_xlfn.FLOOR.MATH(($AI18-1)*Characters!$M$8+Characters!$F$8)+$AK$5</f>
        <v>4950</v>
      </c>
      <c r="AN18" s="39">
        <f>_xlfn.FLOOR.MATH(($AI18-1)*Characters!$M$9+Characters!$F$9)+$AK$5</f>
        <v>4580</v>
      </c>
      <c r="AO18" s="39">
        <f>_xlfn.FLOOR.MATH(($AI18-1)*Characters!$M$10+Characters!$F$10)+$AK$5</f>
        <v>4710</v>
      </c>
      <c r="AP18" s="39">
        <f>_xlfn.FLOOR.MATH(($AI18-1)*Characters!$M$11+Characters!$F$11)+$AK$5</f>
        <v>4580</v>
      </c>
      <c r="AQ18" s="39">
        <f>_xlfn.FLOOR.MATH(($AI18-1)*Characters!$M$12+Characters!$F$12)+$AK$5</f>
        <v>4760</v>
      </c>
      <c r="AR18" s="38">
        <f>_xlfn.FLOOR.MATH((($AI18-1)*Characters!$Q$7+Characters!$J$7+$AK$4)*5/2)</f>
        <v>115</v>
      </c>
      <c r="AS18" s="39">
        <f>_xlfn.FLOOR.MATH((($AI18-1)*Characters!$Q$8+Characters!$J$8+$AK$4)*5/2)</f>
        <v>125</v>
      </c>
      <c r="AT18" s="39">
        <f>_xlfn.FLOOR.MATH((($AI18-1)*Characters!$Q$9+Characters!$J$9+$AK$4)*5/2)</f>
        <v>112</v>
      </c>
      <c r="AU18" s="39">
        <f>_xlfn.FLOOR.MATH((($AI18-1)*Characters!$Q$10+Characters!$J$10+$AK$4)*5/2)</f>
        <v>117</v>
      </c>
      <c r="AV18" s="39">
        <f>_xlfn.FLOOR.MATH((($AI18-1)*Characters!$Q$11+Characters!$J$11+$AK$4)*5/2)</f>
        <v>110</v>
      </c>
      <c r="AW18" s="39">
        <f>_xlfn.FLOOR.MATH((($AI18-1)*Characters!$Q$12+Characters!$J$12+$AK$4)*5/2)</f>
        <v>125</v>
      </c>
      <c r="AX18" s="38">
        <f>_xlfn.FLOOR.MATH((($AI18-1)*Characters!$N$7+Characters!$G$7+$AK$2)*10/2) + _xlfn.FLOOR.MATH((($AI18-1)*Characters!$P$7+Characters!$I$7+$AK$3)*5/2)</f>
        <v>75</v>
      </c>
      <c r="AY18" s="39">
        <f>_xlfn.FLOOR.MATH((($AI18-1)*Characters!$N$8+Characters!$G$8+$AK$2)*10/2) + _xlfn.FLOOR.MATH((($AI18-1)*Characters!$P$8+Characters!$I$8+$AK$3)*5/2)</f>
        <v>125</v>
      </c>
      <c r="AZ18" s="39">
        <f>_xlfn.FLOOR.MATH((($AI18-1)*Characters!$N$9+Characters!$G$9+$AK$2)*10/2) + _xlfn.FLOOR.MATH((($AI18-1)*Characters!$P$9+Characters!$I$9+$AK$3)*5/2)</f>
        <v>52</v>
      </c>
      <c r="BA18" s="39">
        <f>_xlfn.FLOOR.MATH((($AI18-1)*Characters!$N$10+Characters!$G$10+$AK$2)*10/2) + _xlfn.FLOOR.MATH((($AI18-1)*Characters!$P$10+Characters!$I$10+$AK$3)*5/2)</f>
        <v>132</v>
      </c>
      <c r="BB18" s="39">
        <f>_xlfn.FLOOR.MATH((($AI18-1)*Characters!$N$11+Characters!$G$11+$AK$2)*10/2) + _xlfn.FLOOR.MATH((($AI18-1)*Characters!$P$11+Characters!$I$11+$AK$3)*5/2)</f>
        <v>57</v>
      </c>
      <c r="BC18" s="33">
        <f>_xlfn.FLOOR.MATH((($AI18-1)*Characters!$N$12+Characters!$G$12+$AK$2)*10/2) + _xlfn.FLOOR.MATH((($AI18-1)*Characters!$P$12+Characters!$I$12+$AK$3)*5/2)</f>
        <v>130</v>
      </c>
    </row>
    <row r="19" spans="1:55" ht="18" customHeight="1">
      <c r="A19" s="38">
        <v>12</v>
      </c>
      <c r="B19" s="20">
        <f t="shared" si="3"/>
        <v>8</v>
      </c>
      <c r="C19" s="20">
        <f t="shared" si="4"/>
        <v>6</v>
      </c>
      <c r="D19" s="52">
        <f t="shared" si="5"/>
        <v>12</v>
      </c>
      <c r="E19" s="52">
        <f t="shared" si="9"/>
        <v>36</v>
      </c>
      <c r="F19" s="67">
        <f t="shared" si="0"/>
        <v>17</v>
      </c>
      <c r="G19" s="52">
        <f t="shared" si="1"/>
        <v>81.750000000000014</v>
      </c>
      <c r="H19" s="52">
        <f t="shared" si="6"/>
        <v>245.25000000000003</v>
      </c>
      <c r="I19" s="52">
        <f t="shared" si="7"/>
        <v>163.50000000000003</v>
      </c>
      <c r="J19" s="69">
        <f t="shared" si="10"/>
        <v>923.60000000000014</v>
      </c>
      <c r="K19" s="70">
        <f t="shared" si="8"/>
        <v>13</v>
      </c>
      <c r="L19" s="132"/>
      <c r="M19" s="38">
        <f>Characters!$F$13+((Characters!$M$13 )*(Floor!$F19-1))</f>
        <v>1110</v>
      </c>
      <c r="N19" s="39">
        <f>Characters!$F$14+((Characters!$M$14 )*(Floor!F19-1))</f>
        <v>1110</v>
      </c>
      <c r="O19" s="39">
        <f>Characters!$F$15+((Characters!$M$15 )*(Floor!$F19-1))</f>
        <v>1110</v>
      </c>
      <c r="P19" s="39">
        <f>Characters!$F$16+((Characters!$M$16 )*(Floor!$F19-1))</f>
        <v>1110</v>
      </c>
      <c r="Q19" s="39">
        <f>Characters!$F$17+((Characters!$M$17)*(Floor!$F19-1))</f>
        <v>1110</v>
      </c>
      <c r="R19" s="39">
        <f>Characters!$F$18+((Characters!$M$18 )*(Floor!$F19-1))</f>
        <v>1110</v>
      </c>
      <c r="S19" s="33">
        <f>Characters!$F$19+((Characters!$M$19 )*(Floor!$F19-1))</f>
        <v>1110</v>
      </c>
      <c r="T19" s="38">
        <f>_xlfn.FLOOR.MATH((Characters!$J$13+Characters!$Q$13*(Floor!$F19-1))*5/2)</f>
        <v>140</v>
      </c>
      <c r="U19" s="39">
        <f>_xlfn.FLOOR.MATH((Characters!$J$14+Characters!$Q$14*(Floor!$F19-1))*5/2)</f>
        <v>140</v>
      </c>
      <c r="V19" s="39">
        <f>_xlfn.FLOOR.MATH((Characters!$J$15+Characters!$Q$15*(Floor!$F19-1))*5/2)</f>
        <v>140</v>
      </c>
      <c r="W19" s="39">
        <f>_xlfn.FLOOR.MATH((Characters!$J$16+Characters!$Q$16*(Floor!$F19-1))*5/2)</f>
        <v>140</v>
      </c>
      <c r="X19" s="39">
        <f>_xlfn.FLOOR.MATH((Characters!$J$17+Characters!$Q$17*(Floor!$F19-1))*5/2)</f>
        <v>140</v>
      </c>
      <c r="Y19" s="39">
        <f>_xlfn.FLOOR.MATH((Characters!$J$18+Characters!$Q$18*(Floor!$F19-1))*5/2)</f>
        <v>140</v>
      </c>
      <c r="Z19" s="39">
        <f>_xlfn.FLOOR.MATH((Characters!$J$19+Characters!$Q$19*(Floor!$F19-1))*5/2)</f>
        <v>140</v>
      </c>
      <c r="AA19" s="38">
        <f>_xlfn.FLOOR.MATH((Characters!$G$13+Characters!$N$13*(Floor!$F19-1))*10/2) + _xlfn.FLOOR.MATH((($AI19-1)*Characters!$P$13+Characters!$I$13)*5/2)</f>
        <v>139</v>
      </c>
      <c r="AB19" s="39">
        <f>_xlfn.FLOOR.MATH((Characters!$G$14+Characters!$N$14*(Floor!$F19-1))*10/2) + _xlfn.FLOOR.MATH((($AI19-1)*Characters!$P$14+Characters!$I$14)*5/2)</f>
        <v>139</v>
      </c>
      <c r="AC19" s="39">
        <f>_xlfn.FLOOR.MATH((Characters!$G$15+Characters!$N$15*(Floor!$F19-1))*10/2) + _xlfn.FLOOR.MATH((($AI19-1)*Characters!$P$15+Characters!$I$15)*5/2)</f>
        <v>139</v>
      </c>
      <c r="AD19" s="39">
        <f>_xlfn.FLOOR.MATH((Characters!$G$16+Characters!$N$16*(Floor!$F19-1))*10/2) + _xlfn.FLOOR.MATH((($AI19-1)*Characters!$P$16+Characters!$I$16)*5/2)</f>
        <v>139</v>
      </c>
      <c r="AE19" s="39">
        <f>_xlfn.FLOOR.MATH((Characters!$G$17+Characters!$N$17*(Floor!$F19-1))*10/2) + _xlfn.FLOOR.MATH((($AI19-1)*Characters!$P$17+Characters!$I$17)*5/2)</f>
        <v>139</v>
      </c>
      <c r="AF19" s="39">
        <f>_xlfn.FLOOR.MATH((Characters!$G$18+Characters!$N$18*(Floor!$F19-1))*10/2) + _xlfn.FLOOR.MATH((($AI19-1)*Characters!$P$18+Characters!$I$18)*5/2)</f>
        <v>139</v>
      </c>
      <c r="AG19" s="33">
        <f>_xlfn.FLOOR.MATH((Characters!$G$19+Characters!$N$19*(Floor!$F19-1))*10/2) + _xlfn.FLOOR.MATH((($AI19-1)*Characters!$P$19+Characters!$I$19)*5/2)</f>
        <v>139</v>
      </c>
      <c r="AH19" s="136"/>
      <c r="AI19" s="38">
        <v>12</v>
      </c>
      <c r="AJ19" s="71">
        <f t="shared" si="2"/>
        <v>147.56</v>
      </c>
      <c r="AK19" s="105">
        <f t="shared" si="11"/>
        <v>695.3599999999999</v>
      </c>
      <c r="AL19" s="38">
        <f>_xlfn.FLOOR.MATH(($AI19-1)*Characters!$M$7+Characters!$F$7)+$AK$5</f>
        <v>4730</v>
      </c>
      <c r="AM19" s="39">
        <f>_xlfn.FLOOR.MATH(($AI19-1)*Characters!$M$8+Characters!$F$8)+$AK$5</f>
        <v>5000</v>
      </c>
      <c r="AN19" s="39">
        <f>_xlfn.FLOOR.MATH(($AI19-1)*Characters!$M$9+Characters!$F$9)+$AK$5</f>
        <v>4605</v>
      </c>
      <c r="AO19" s="39">
        <f>_xlfn.FLOOR.MATH(($AI19-1)*Characters!$M$10+Characters!$F$10)+$AK$5</f>
        <v>4745</v>
      </c>
      <c r="AP19" s="39">
        <f>_xlfn.FLOOR.MATH(($AI19-1)*Characters!$M$11+Characters!$F$11)+$AK$5</f>
        <v>4605</v>
      </c>
      <c r="AQ19" s="39">
        <f>_xlfn.FLOOR.MATH(($AI19-1)*Characters!$M$12+Characters!$F$12)+$AK$5</f>
        <v>4800</v>
      </c>
      <c r="AR19" s="38">
        <f>_xlfn.FLOOR.MATH((($AI19-1)*Characters!$Q$7+Characters!$J$7+$AK$4)*5/2)</f>
        <v>116</v>
      </c>
      <c r="AS19" s="39">
        <f>_xlfn.FLOOR.MATH((($AI19-1)*Characters!$Q$8+Characters!$J$8+$AK$4)*5/2)</f>
        <v>126</v>
      </c>
      <c r="AT19" s="39">
        <f>_xlfn.FLOOR.MATH((($AI19-1)*Characters!$Q$9+Characters!$J$9+$AK$4)*5/2)</f>
        <v>113</v>
      </c>
      <c r="AU19" s="39">
        <f>_xlfn.FLOOR.MATH((($AI19-1)*Characters!$Q$10+Characters!$J$10+$AK$4)*5/2)</f>
        <v>118</v>
      </c>
      <c r="AV19" s="39">
        <f>_xlfn.FLOOR.MATH((($AI19-1)*Characters!$Q$11+Characters!$J$11+$AK$4)*5/2)</f>
        <v>110</v>
      </c>
      <c r="AW19" s="39">
        <f>_xlfn.FLOOR.MATH((($AI19-1)*Characters!$Q$12+Characters!$J$12+$AK$4)*5/2)</f>
        <v>126</v>
      </c>
      <c r="AX19" s="38">
        <f>_xlfn.FLOOR.MATH((($AI19-1)*Characters!$N$7+Characters!$G$7+$AK$2)*10/2) + _xlfn.FLOOR.MATH((($AI19-1)*Characters!$P$7+Characters!$I$7+$AK$3)*5/2)</f>
        <v>78</v>
      </c>
      <c r="AY19" s="39">
        <f>_xlfn.FLOOR.MATH((($AI19-1)*Characters!$N$8+Characters!$G$8+$AK$2)*10/2) + _xlfn.FLOOR.MATH((($AI19-1)*Characters!$P$8+Characters!$I$8+$AK$3)*5/2)</f>
        <v>129</v>
      </c>
      <c r="AZ19" s="39">
        <f>_xlfn.FLOOR.MATH((($AI19-1)*Characters!$N$9+Characters!$G$9+$AK$2)*10/2) + _xlfn.FLOOR.MATH((($AI19-1)*Characters!$P$9+Characters!$I$9+$AK$3)*5/2)</f>
        <v>54</v>
      </c>
      <c r="BA19" s="39">
        <f>_xlfn.FLOOR.MATH((($AI19-1)*Characters!$N$10+Characters!$G$10+$AK$2)*10/2) + _xlfn.FLOOR.MATH((($AI19-1)*Characters!$P$10+Characters!$I$10+$AK$3)*5/2)</f>
        <v>137</v>
      </c>
      <c r="BB19" s="39">
        <f>_xlfn.FLOOR.MATH((($AI19-1)*Characters!$N$11+Characters!$G$11+$AK$2)*10/2) + _xlfn.FLOOR.MATH((($AI19-1)*Characters!$P$11+Characters!$I$11+$AK$3)*5/2)</f>
        <v>59</v>
      </c>
      <c r="BC19" s="33">
        <f>_xlfn.FLOOR.MATH((($AI19-1)*Characters!$N$12+Characters!$G$12+$AK$2)*10/2) + _xlfn.FLOOR.MATH((($AI19-1)*Characters!$P$12+Characters!$I$12+$AK$3)*5/2)</f>
        <v>135</v>
      </c>
    </row>
    <row r="20" spans="1:55" ht="18" customHeight="1">
      <c r="A20" s="38">
        <v>13</v>
      </c>
      <c r="B20" s="20">
        <f t="shared" si="3"/>
        <v>8</v>
      </c>
      <c r="C20" s="20">
        <f t="shared" si="4"/>
        <v>6</v>
      </c>
      <c r="D20" s="52">
        <f t="shared" si="5"/>
        <v>12</v>
      </c>
      <c r="E20" s="52">
        <f t="shared" si="9"/>
        <v>36</v>
      </c>
      <c r="F20" s="67">
        <f t="shared" si="0"/>
        <v>19</v>
      </c>
      <c r="G20" s="52">
        <f t="shared" si="1"/>
        <v>91.350000000000009</v>
      </c>
      <c r="H20" s="52">
        <f t="shared" si="6"/>
        <v>274.05</v>
      </c>
      <c r="I20" s="52">
        <f t="shared" si="7"/>
        <v>182.70000000000002</v>
      </c>
      <c r="J20" s="69">
        <f t="shared" si="10"/>
        <v>1106.3000000000002</v>
      </c>
      <c r="K20" s="70">
        <f t="shared" si="8"/>
        <v>14</v>
      </c>
      <c r="L20" s="132"/>
      <c r="M20" s="38">
        <f>Characters!$F$13+((Characters!$M$13 )*(Floor!$F20-1))</f>
        <v>1230</v>
      </c>
      <c r="N20" s="39">
        <f>Characters!$F$14+((Characters!$M$14 )*(Floor!F20-1))</f>
        <v>1230</v>
      </c>
      <c r="O20" s="39">
        <f>Characters!$F$15+((Characters!$M$15 )*(Floor!$F20-1))</f>
        <v>1230</v>
      </c>
      <c r="P20" s="39">
        <f>Characters!$F$16+((Characters!$M$16 )*(Floor!$F20-1))</f>
        <v>1230</v>
      </c>
      <c r="Q20" s="39">
        <f>Characters!$F$17+((Characters!$M$17)*(Floor!$F20-1))</f>
        <v>1230</v>
      </c>
      <c r="R20" s="39">
        <f>Characters!$F$18+((Characters!$M$18 )*(Floor!$F20-1))</f>
        <v>1230</v>
      </c>
      <c r="S20" s="33">
        <f>Characters!$F$19+((Characters!$M$19 )*(Floor!$F20-1))</f>
        <v>1230</v>
      </c>
      <c r="T20" s="38">
        <f>_xlfn.FLOOR.MATH((Characters!$J$13+Characters!$Q$13*(Floor!$F20-1))*5/2)</f>
        <v>155</v>
      </c>
      <c r="U20" s="39">
        <f>_xlfn.FLOOR.MATH((Characters!$J$14+Characters!$Q$14*(Floor!$F20-1))*5/2)</f>
        <v>155</v>
      </c>
      <c r="V20" s="39">
        <f>_xlfn.FLOOR.MATH((Characters!$J$15+Characters!$Q$15*(Floor!$F20-1))*5/2)</f>
        <v>155</v>
      </c>
      <c r="W20" s="39">
        <f>_xlfn.FLOOR.MATH((Characters!$J$16+Characters!$Q$16*(Floor!$F20-1))*5/2)</f>
        <v>155</v>
      </c>
      <c r="X20" s="39">
        <f>_xlfn.FLOOR.MATH((Characters!$J$17+Characters!$Q$17*(Floor!$F20-1))*5/2)</f>
        <v>155</v>
      </c>
      <c r="Y20" s="39">
        <f>_xlfn.FLOOR.MATH((Characters!$J$18+Characters!$Q$18*(Floor!$F20-1))*5/2)</f>
        <v>155</v>
      </c>
      <c r="Z20" s="39">
        <f>_xlfn.FLOOR.MATH((Characters!$J$19+Characters!$Q$19*(Floor!$F20-1))*5/2)</f>
        <v>155</v>
      </c>
      <c r="AA20" s="38">
        <f>_xlfn.FLOOR.MATH((Characters!$G$13+Characters!$N$13*(Floor!$F20-1))*10/2) + _xlfn.FLOOR.MATH((($AI20-1)*Characters!$P$13+Characters!$I$13)*5/2)</f>
        <v>153</v>
      </c>
      <c r="AB20" s="39">
        <f>_xlfn.FLOOR.MATH((Characters!$G$14+Characters!$N$14*(Floor!$F20-1))*10/2) + _xlfn.FLOOR.MATH((($AI20-1)*Characters!$P$14+Characters!$I$14)*5/2)</f>
        <v>153</v>
      </c>
      <c r="AC20" s="39">
        <f>_xlfn.FLOOR.MATH((Characters!$G$15+Characters!$N$15*(Floor!$F20-1))*10/2) + _xlfn.FLOOR.MATH((($AI20-1)*Characters!$P$15+Characters!$I$15)*5/2)</f>
        <v>153</v>
      </c>
      <c r="AD20" s="39">
        <f>_xlfn.FLOOR.MATH((Characters!$G$16+Characters!$N$16*(Floor!$F20-1))*10/2) + _xlfn.FLOOR.MATH((($AI20-1)*Characters!$P$16+Characters!$I$16)*5/2)</f>
        <v>153</v>
      </c>
      <c r="AE20" s="39">
        <f>_xlfn.FLOOR.MATH((Characters!$G$17+Characters!$N$17*(Floor!$F20-1))*10/2) + _xlfn.FLOOR.MATH((($AI20-1)*Characters!$P$17+Characters!$I$17)*5/2)</f>
        <v>153</v>
      </c>
      <c r="AF20" s="39">
        <f>_xlfn.FLOOR.MATH((Characters!$G$18+Characters!$N$18*(Floor!$F20-1))*10/2) + _xlfn.FLOOR.MATH((($AI20-1)*Characters!$P$18+Characters!$I$18)*5/2)</f>
        <v>153</v>
      </c>
      <c r="AG20" s="33">
        <f>_xlfn.FLOOR.MATH((Characters!$G$19+Characters!$N$19*(Floor!$F20-1))*10/2) + _xlfn.FLOOR.MATH((($AI20-1)*Characters!$P$19+Characters!$I$19)*5/2)</f>
        <v>153</v>
      </c>
      <c r="AH20" s="136"/>
      <c r="AI20" s="38">
        <v>13</v>
      </c>
      <c r="AJ20" s="71">
        <f t="shared" si="2"/>
        <v>172.51999999999998</v>
      </c>
      <c r="AK20" s="105">
        <f t="shared" si="11"/>
        <v>867.87999999999988</v>
      </c>
      <c r="AL20" s="38">
        <f>_xlfn.FLOOR.MATH(($AI20-1)*Characters!$M$7+Characters!$F$7)+$AK$5</f>
        <v>4760</v>
      </c>
      <c r="AM20" s="39">
        <f>_xlfn.FLOOR.MATH(($AI20-1)*Characters!$M$8+Characters!$F$8)+$AK$5</f>
        <v>5050</v>
      </c>
      <c r="AN20" s="39">
        <f>_xlfn.FLOOR.MATH(($AI20-1)*Characters!$M$9+Characters!$F$9)+$AK$5</f>
        <v>4630</v>
      </c>
      <c r="AO20" s="39">
        <f>_xlfn.FLOOR.MATH(($AI20-1)*Characters!$M$10+Characters!$F$10)+$AK$5</f>
        <v>4780</v>
      </c>
      <c r="AP20" s="39">
        <f>_xlfn.FLOOR.MATH(($AI20-1)*Characters!$M$11+Characters!$F$11)+$AK$5</f>
        <v>4630</v>
      </c>
      <c r="AQ20" s="39">
        <f>_xlfn.FLOOR.MATH(($AI20-1)*Characters!$M$12+Characters!$F$12)+$AK$5</f>
        <v>4840</v>
      </c>
      <c r="AR20" s="38">
        <f>_xlfn.FLOOR.MATH((($AI20-1)*Characters!$Q$7+Characters!$J$7+$AK$4)*5/2)</f>
        <v>117</v>
      </c>
      <c r="AS20" s="39">
        <f>_xlfn.FLOOR.MATH((($AI20-1)*Characters!$Q$8+Characters!$J$8+$AK$4)*5/2)</f>
        <v>128</v>
      </c>
      <c r="AT20" s="39">
        <f>_xlfn.FLOOR.MATH((($AI20-1)*Characters!$Q$9+Characters!$J$9+$AK$4)*5/2)</f>
        <v>114</v>
      </c>
      <c r="AU20" s="39">
        <f>_xlfn.FLOOR.MATH((($AI20-1)*Characters!$Q$10+Characters!$J$10+$AK$4)*5/2)</f>
        <v>120</v>
      </c>
      <c r="AV20" s="39">
        <f>_xlfn.FLOOR.MATH((($AI20-1)*Characters!$Q$11+Characters!$J$11+$AK$4)*5/2)</f>
        <v>111</v>
      </c>
      <c r="AW20" s="39">
        <f>_xlfn.FLOOR.MATH((($AI20-1)*Characters!$Q$12+Characters!$J$12+$AK$4)*5/2)</f>
        <v>128</v>
      </c>
      <c r="AX20" s="38">
        <f>_xlfn.FLOOR.MATH((($AI20-1)*Characters!$N$7+Characters!$G$7+$AK$2)*10/2) + _xlfn.FLOOR.MATH((($AI20-1)*Characters!$P$7+Characters!$I$7+$AK$3)*5/2)</f>
        <v>82</v>
      </c>
      <c r="AY20" s="39">
        <f>_xlfn.FLOOR.MATH((($AI20-1)*Characters!$N$8+Characters!$G$8+$AK$2)*10/2) + _xlfn.FLOOR.MATH((($AI20-1)*Characters!$P$8+Characters!$I$8+$AK$3)*5/2)</f>
        <v>134</v>
      </c>
      <c r="AZ20" s="39">
        <f>_xlfn.FLOOR.MATH((($AI20-1)*Characters!$N$9+Characters!$G$9+$AK$2)*10/2) + _xlfn.FLOOR.MATH((($AI20-1)*Characters!$P$9+Characters!$I$9+$AK$3)*5/2)</f>
        <v>56</v>
      </c>
      <c r="BA20" s="39">
        <f>_xlfn.FLOOR.MATH((($AI20-1)*Characters!$N$10+Characters!$G$10+$AK$2)*10/2) + _xlfn.FLOOR.MATH((($AI20-1)*Characters!$P$10+Characters!$I$10+$AK$3)*5/2)</f>
        <v>143</v>
      </c>
      <c r="BB20" s="39">
        <f>_xlfn.FLOOR.MATH((($AI20-1)*Characters!$N$11+Characters!$G$11+$AK$2)*10/2) + _xlfn.FLOOR.MATH((($AI20-1)*Characters!$P$11+Characters!$I$11+$AK$3)*5/2)</f>
        <v>61</v>
      </c>
      <c r="BC20" s="33">
        <f>_xlfn.FLOOR.MATH((($AI20-1)*Characters!$N$12+Characters!$G$12+$AK$2)*10/2) + _xlfn.FLOOR.MATH((($AI20-1)*Characters!$P$12+Characters!$I$12+$AK$3)*5/2)</f>
        <v>140</v>
      </c>
    </row>
    <row r="21" spans="1:55" ht="18" customHeight="1">
      <c r="A21" s="38">
        <v>14</v>
      </c>
      <c r="B21" s="20">
        <f t="shared" si="3"/>
        <v>8</v>
      </c>
      <c r="C21" s="20">
        <f t="shared" si="4"/>
        <v>6</v>
      </c>
      <c r="D21" s="52">
        <f t="shared" si="5"/>
        <v>12</v>
      </c>
      <c r="E21" s="52">
        <f t="shared" si="9"/>
        <v>36</v>
      </c>
      <c r="F21" s="67">
        <f t="shared" si="0"/>
        <v>20</v>
      </c>
      <c r="G21" s="52">
        <f t="shared" si="1"/>
        <v>96.15</v>
      </c>
      <c r="H21" s="52">
        <f t="shared" si="6"/>
        <v>288.45000000000005</v>
      </c>
      <c r="I21" s="52">
        <f t="shared" si="7"/>
        <v>192.3</v>
      </c>
      <c r="J21" s="69">
        <f t="shared" si="10"/>
        <v>1298.6000000000001</v>
      </c>
      <c r="K21" s="70">
        <f t="shared" si="8"/>
        <v>15</v>
      </c>
      <c r="L21" s="132"/>
      <c r="M21" s="38">
        <f>Characters!$F$13+((Characters!$M$13 )*(Floor!$F21-1))</f>
        <v>1290</v>
      </c>
      <c r="N21" s="39">
        <f>Characters!$F$14+((Characters!$M$14 )*(Floor!F21-1))</f>
        <v>1290</v>
      </c>
      <c r="O21" s="39">
        <f>Characters!$F$15+((Characters!$M$15 )*(Floor!$F21-1))</f>
        <v>1290</v>
      </c>
      <c r="P21" s="39">
        <f>Characters!$F$16+((Characters!$M$16 )*(Floor!$F21-1))</f>
        <v>1290</v>
      </c>
      <c r="Q21" s="39">
        <f>Characters!$F$17+((Characters!$M$17)*(Floor!$F21-1))</f>
        <v>1290</v>
      </c>
      <c r="R21" s="39">
        <f>Characters!$F$18+((Characters!$M$18 )*(Floor!$F21-1))</f>
        <v>1290</v>
      </c>
      <c r="S21" s="33">
        <f>Characters!$F$19+((Characters!$M$19 )*(Floor!$F21-1))</f>
        <v>1290</v>
      </c>
      <c r="T21" s="38">
        <f>_xlfn.FLOOR.MATH((Characters!$J$13+Characters!$Q$13*(Floor!$F21-1))*5/2)</f>
        <v>162</v>
      </c>
      <c r="U21" s="39">
        <f>_xlfn.FLOOR.MATH((Characters!$J$14+Characters!$Q$14*(Floor!$F21-1))*5/2)</f>
        <v>162</v>
      </c>
      <c r="V21" s="39">
        <f>_xlfn.FLOOR.MATH((Characters!$J$15+Characters!$Q$15*(Floor!$F21-1))*5/2)</f>
        <v>162</v>
      </c>
      <c r="W21" s="39">
        <f>_xlfn.FLOOR.MATH((Characters!$J$16+Characters!$Q$16*(Floor!$F21-1))*5/2)</f>
        <v>162</v>
      </c>
      <c r="X21" s="39">
        <f>_xlfn.FLOOR.MATH((Characters!$J$17+Characters!$Q$17*(Floor!$F21-1))*5/2)</f>
        <v>162</v>
      </c>
      <c r="Y21" s="39">
        <f>_xlfn.FLOOR.MATH((Characters!$J$18+Characters!$Q$18*(Floor!$F21-1))*5/2)</f>
        <v>162</v>
      </c>
      <c r="Z21" s="39">
        <f>_xlfn.FLOOR.MATH((Characters!$J$19+Characters!$Q$19*(Floor!$F21-1))*5/2)</f>
        <v>162</v>
      </c>
      <c r="AA21" s="38">
        <f>_xlfn.FLOOR.MATH((Characters!$G$13+Characters!$N$13*(Floor!$F21-1))*10/2) + _xlfn.FLOOR.MATH((($AI21-1)*Characters!$P$13+Characters!$I$13)*5/2)</f>
        <v>160</v>
      </c>
      <c r="AB21" s="39">
        <f>_xlfn.FLOOR.MATH((Characters!$G$14+Characters!$N$14*(Floor!$F21-1))*10/2) + _xlfn.FLOOR.MATH((($AI21-1)*Characters!$P$14+Characters!$I$14)*5/2)</f>
        <v>160</v>
      </c>
      <c r="AC21" s="39">
        <f>_xlfn.FLOOR.MATH((Characters!$G$15+Characters!$N$15*(Floor!$F21-1))*10/2) + _xlfn.FLOOR.MATH((($AI21-1)*Characters!$P$15+Characters!$I$15)*5/2)</f>
        <v>160</v>
      </c>
      <c r="AD21" s="39">
        <f>_xlfn.FLOOR.MATH((Characters!$G$16+Characters!$N$16*(Floor!$F21-1))*10/2) + _xlfn.FLOOR.MATH((($AI21-1)*Characters!$P$16+Characters!$I$16)*5/2)</f>
        <v>160</v>
      </c>
      <c r="AE21" s="39">
        <f>_xlfn.FLOOR.MATH((Characters!$G$17+Characters!$N$17*(Floor!$F21-1))*10/2) + _xlfn.FLOOR.MATH((($AI21-1)*Characters!$P$17+Characters!$I$17)*5/2)</f>
        <v>160</v>
      </c>
      <c r="AF21" s="39">
        <f>_xlfn.FLOOR.MATH((Characters!$G$18+Characters!$N$18*(Floor!$F21-1))*10/2) + _xlfn.FLOOR.MATH((($AI21-1)*Characters!$P$18+Characters!$I$18)*5/2)</f>
        <v>160</v>
      </c>
      <c r="AG21" s="33">
        <f>_xlfn.FLOOR.MATH((Characters!$G$19+Characters!$N$19*(Floor!$F21-1))*10/2) + _xlfn.FLOOR.MATH((($AI21-1)*Characters!$P$19+Characters!$I$19)*5/2)</f>
        <v>160</v>
      </c>
      <c r="AH21" s="136"/>
      <c r="AI21" s="38">
        <v>14</v>
      </c>
      <c r="AJ21" s="71">
        <f t="shared" si="2"/>
        <v>199.48</v>
      </c>
      <c r="AK21" s="105">
        <f t="shared" si="11"/>
        <v>1067.3599999999999</v>
      </c>
      <c r="AL21" s="38">
        <f>_xlfn.FLOOR.MATH(($AI21-1)*Characters!$M$7+Characters!$F$7)+$AK$5</f>
        <v>4790</v>
      </c>
      <c r="AM21" s="39">
        <f>_xlfn.FLOOR.MATH(($AI21-1)*Characters!$M$8+Characters!$F$8)+$AK$5</f>
        <v>5100</v>
      </c>
      <c r="AN21" s="39">
        <f>_xlfn.FLOOR.MATH(($AI21-1)*Characters!$M$9+Characters!$F$9)+$AK$5</f>
        <v>4655</v>
      </c>
      <c r="AO21" s="39">
        <f>_xlfn.FLOOR.MATH(($AI21-1)*Characters!$M$10+Characters!$F$10)+$AK$5</f>
        <v>4815</v>
      </c>
      <c r="AP21" s="39">
        <f>_xlfn.FLOOR.MATH(($AI21-1)*Characters!$M$11+Characters!$F$11)+$AK$5</f>
        <v>4655</v>
      </c>
      <c r="AQ21" s="39">
        <f>_xlfn.FLOOR.MATH(($AI21-1)*Characters!$M$12+Characters!$F$12)+$AK$5</f>
        <v>4880</v>
      </c>
      <c r="AR21" s="38">
        <f>_xlfn.FLOOR.MATH((($AI21-1)*Characters!$Q$7+Characters!$J$7+$AK$4)*5/2)</f>
        <v>118</v>
      </c>
      <c r="AS21" s="39">
        <f>_xlfn.FLOOR.MATH((($AI21-1)*Characters!$Q$8+Characters!$J$8+$AK$4)*5/2)</f>
        <v>129</v>
      </c>
      <c r="AT21" s="39">
        <f>_xlfn.FLOOR.MATH((($AI21-1)*Characters!$Q$9+Characters!$J$9+$AK$4)*5/2)</f>
        <v>114</v>
      </c>
      <c r="AU21" s="39">
        <f>_xlfn.FLOOR.MATH((($AI21-1)*Characters!$Q$10+Characters!$J$10+$AK$4)*5/2)</f>
        <v>121</v>
      </c>
      <c r="AV21" s="39">
        <f>_xlfn.FLOOR.MATH((($AI21-1)*Characters!$Q$11+Characters!$J$11+$AK$4)*5/2)</f>
        <v>112</v>
      </c>
      <c r="AW21" s="39">
        <f>_xlfn.FLOOR.MATH((($AI21-1)*Characters!$Q$12+Characters!$J$12+$AK$4)*5/2)</f>
        <v>129</v>
      </c>
      <c r="AX21" s="38">
        <f>_xlfn.FLOOR.MATH((($AI21-1)*Characters!$N$7+Characters!$G$7+$AK$2)*10/2) + _xlfn.FLOOR.MATH((($AI21-1)*Characters!$P$7+Characters!$I$7+$AK$3)*5/2)</f>
        <v>85</v>
      </c>
      <c r="AY21" s="39">
        <f>_xlfn.FLOOR.MATH((($AI21-1)*Characters!$N$8+Characters!$G$8+$AK$2)*10/2) + _xlfn.FLOOR.MATH((($AI21-1)*Characters!$P$8+Characters!$I$8+$AK$3)*5/2)</f>
        <v>138</v>
      </c>
      <c r="AZ21" s="39">
        <f>_xlfn.FLOOR.MATH((($AI21-1)*Characters!$N$9+Characters!$G$9+$AK$2)*10/2) + _xlfn.FLOOR.MATH((($AI21-1)*Characters!$P$9+Characters!$I$9+$AK$3)*5/2)</f>
        <v>57</v>
      </c>
      <c r="BA21" s="39">
        <f>_xlfn.FLOOR.MATH((($AI21-1)*Characters!$N$10+Characters!$G$10+$AK$2)*10/2) + _xlfn.FLOOR.MATH((($AI21-1)*Characters!$P$10+Characters!$I$10+$AK$3)*5/2)</f>
        <v>148</v>
      </c>
      <c r="BB21" s="39">
        <f>_xlfn.FLOOR.MATH((($AI21-1)*Characters!$N$11+Characters!$G$11+$AK$2)*10/2) + _xlfn.FLOOR.MATH((($AI21-1)*Characters!$P$11+Characters!$I$11+$AK$3)*5/2)</f>
        <v>63</v>
      </c>
      <c r="BC21" s="33">
        <f>_xlfn.FLOOR.MATH((($AI21-1)*Characters!$N$12+Characters!$G$12+$AK$2)*10/2) + _xlfn.FLOOR.MATH((($AI21-1)*Characters!$P$12+Characters!$I$12+$AK$3)*5/2)</f>
        <v>145</v>
      </c>
    </row>
    <row r="22" spans="1:55" ht="18" customHeight="1">
      <c r="A22" s="38">
        <v>15</v>
      </c>
      <c r="B22" s="20">
        <f t="shared" si="3"/>
        <v>9</v>
      </c>
      <c r="C22" s="20">
        <f t="shared" si="4"/>
        <v>7</v>
      </c>
      <c r="D22" s="52">
        <f t="shared" si="5"/>
        <v>14</v>
      </c>
      <c r="E22" s="52">
        <f t="shared" si="9"/>
        <v>42</v>
      </c>
      <c r="F22" s="67">
        <f t="shared" si="0"/>
        <v>22</v>
      </c>
      <c r="G22" s="52">
        <f t="shared" si="1"/>
        <v>123.35000000000002</v>
      </c>
      <c r="H22" s="52">
        <f t="shared" si="6"/>
        <v>370.05000000000007</v>
      </c>
      <c r="I22" s="52">
        <f t="shared" si="7"/>
        <v>246.70000000000005</v>
      </c>
      <c r="J22" s="69">
        <f t="shared" si="10"/>
        <v>1545.3000000000002</v>
      </c>
      <c r="K22" s="70">
        <f t="shared" si="8"/>
        <v>15</v>
      </c>
      <c r="L22" s="132"/>
      <c r="M22" s="102">
        <f>Characters!$F$13+((Characters!$M$13 )*(Floor!$F22-1))</f>
        <v>1410</v>
      </c>
      <c r="N22" s="103">
        <f>Characters!$F$14+((Characters!$M$14 )*(Floor!F22-1))</f>
        <v>1410</v>
      </c>
      <c r="O22" s="103">
        <f>Characters!$F$15+((Characters!$M$15 )*(Floor!$F22-1))</f>
        <v>1410</v>
      </c>
      <c r="P22" s="103">
        <f>Characters!$F$16+((Characters!$M$16 )*(Floor!$F22-1))</f>
        <v>1410</v>
      </c>
      <c r="Q22" s="103">
        <f>Characters!$F$17+((Characters!$M$17)*(Floor!$F22-1))</f>
        <v>1410</v>
      </c>
      <c r="R22" s="103">
        <f>Characters!$F$18+((Characters!$M$18 )*(Floor!$F22-1))</f>
        <v>1410</v>
      </c>
      <c r="S22" s="104">
        <f>Characters!$F$19+((Characters!$M$19 )*(Floor!$F22-1))</f>
        <v>1410</v>
      </c>
      <c r="T22" s="102">
        <f>_xlfn.FLOOR.MATH((Characters!$J$13+Characters!$Q$13*(Floor!$F22-1))*5/2)</f>
        <v>177</v>
      </c>
      <c r="U22" s="103">
        <f>_xlfn.FLOOR.MATH((Characters!$J$14+Characters!$Q$14*(Floor!$F22-1))*5/2)</f>
        <v>177</v>
      </c>
      <c r="V22" s="103">
        <f>_xlfn.FLOOR.MATH((Characters!$J$15+Characters!$Q$15*(Floor!$F22-1))*5/2)</f>
        <v>177</v>
      </c>
      <c r="W22" s="103">
        <f>_xlfn.FLOOR.MATH((Characters!$J$16+Characters!$Q$16*(Floor!$F22-1))*5/2)</f>
        <v>177</v>
      </c>
      <c r="X22" s="103">
        <f>_xlfn.FLOOR.MATH((Characters!$J$17+Characters!$Q$17*(Floor!$F22-1))*5/2)</f>
        <v>177</v>
      </c>
      <c r="Y22" s="103">
        <f>_xlfn.FLOOR.MATH((Characters!$J$18+Characters!$Q$18*(Floor!$F22-1))*5/2)</f>
        <v>177</v>
      </c>
      <c r="Z22" s="103">
        <f>_xlfn.FLOOR.MATH((Characters!$J$19+Characters!$Q$19*(Floor!$F22-1))*5/2)</f>
        <v>177</v>
      </c>
      <c r="AA22" s="102">
        <f>_xlfn.FLOOR.MATH((Characters!$G$13+Characters!$N$13*(Floor!$F22-1))*10/2) + _xlfn.FLOOR.MATH((($AI22-1)*Characters!$P$13+Characters!$I$13)*5/2)</f>
        <v>173</v>
      </c>
      <c r="AB22" s="103">
        <f>_xlfn.FLOOR.MATH((Characters!$G$14+Characters!$N$14*(Floor!$F22-1))*10/2) + _xlfn.FLOOR.MATH((($AI22-1)*Characters!$P$14+Characters!$I$14)*5/2)</f>
        <v>173</v>
      </c>
      <c r="AC22" s="103">
        <f>_xlfn.FLOOR.MATH((Characters!$G$15+Characters!$N$15*(Floor!$F22-1))*10/2) + _xlfn.FLOOR.MATH((($AI22-1)*Characters!$P$15+Characters!$I$15)*5/2)</f>
        <v>173</v>
      </c>
      <c r="AD22" s="103">
        <f>_xlfn.FLOOR.MATH((Characters!$G$16+Characters!$N$16*(Floor!$F22-1))*10/2) + _xlfn.FLOOR.MATH((($AI22-1)*Characters!$P$16+Characters!$I$16)*5/2)</f>
        <v>173</v>
      </c>
      <c r="AE22" s="103">
        <f>_xlfn.FLOOR.MATH((Characters!$G$17+Characters!$N$17*(Floor!$F22-1))*10/2) + _xlfn.FLOOR.MATH((($AI22-1)*Characters!$P$17+Characters!$I$17)*5/2)</f>
        <v>173</v>
      </c>
      <c r="AF22" s="103">
        <f>_xlfn.FLOOR.MATH((Characters!$G$18+Characters!$N$18*(Floor!$F22-1))*10/2) + _xlfn.FLOOR.MATH((($AI22-1)*Characters!$P$18+Characters!$I$18)*5/2)</f>
        <v>173</v>
      </c>
      <c r="AG22" s="104">
        <f>_xlfn.FLOOR.MATH((Characters!$G$19+Characters!$N$19*(Floor!$F22-1))*10/2) + _xlfn.FLOOR.MATH((($AI22-1)*Characters!$P$19+Characters!$I$19)*5/2)</f>
        <v>173</v>
      </c>
      <c r="AH22" s="136"/>
      <c r="AI22" s="38">
        <v>15</v>
      </c>
      <c r="AJ22" s="71">
        <f t="shared" si="2"/>
        <v>228.44</v>
      </c>
      <c r="AK22" s="105">
        <f t="shared" si="11"/>
        <v>1295.8</v>
      </c>
      <c r="AL22" s="38">
        <f>_xlfn.FLOOR.MATH(($AI22-1)*Characters!$M$7+Characters!$F$7)+$AK$5</f>
        <v>4820</v>
      </c>
      <c r="AM22" s="39">
        <f>_xlfn.FLOOR.MATH(($AI22-1)*Characters!$M$8+Characters!$F$8)+$AK$5</f>
        <v>5150</v>
      </c>
      <c r="AN22" s="39">
        <f>_xlfn.FLOOR.MATH(($AI22-1)*Characters!$M$9+Characters!$F$9)+$AK$5</f>
        <v>4680</v>
      </c>
      <c r="AO22" s="39">
        <f>_xlfn.FLOOR.MATH(($AI22-1)*Characters!$M$10+Characters!$F$10)+$AK$5</f>
        <v>4850</v>
      </c>
      <c r="AP22" s="39">
        <f>_xlfn.FLOOR.MATH(($AI22-1)*Characters!$M$11+Characters!$F$11)+$AK$5</f>
        <v>4680</v>
      </c>
      <c r="AQ22" s="39">
        <f>_xlfn.FLOOR.MATH(($AI22-1)*Characters!$M$12+Characters!$F$12)+$AK$5</f>
        <v>4920</v>
      </c>
      <c r="AR22" s="38">
        <f>_xlfn.FLOOR.MATH((($AI22-1)*Characters!$Q$7+Characters!$J$7+$AK$4)*5/2)</f>
        <v>120</v>
      </c>
      <c r="AS22" s="39">
        <f>_xlfn.FLOOR.MATH((($AI22-1)*Characters!$Q$8+Characters!$J$8+$AK$4)*5/2)</f>
        <v>131</v>
      </c>
      <c r="AT22" s="39">
        <f>_xlfn.FLOOR.MATH((($AI22-1)*Characters!$Q$9+Characters!$J$9+$AK$4)*5/2)</f>
        <v>115</v>
      </c>
      <c r="AU22" s="39">
        <f>_xlfn.FLOOR.MATH((($AI22-1)*Characters!$Q$10+Characters!$J$10+$AK$4)*5/2)</f>
        <v>122</v>
      </c>
      <c r="AV22" s="39">
        <f>_xlfn.FLOOR.MATH((($AI22-1)*Characters!$Q$11+Characters!$J$11+$AK$4)*5/2)</f>
        <v>113</v>
      </c>
      <c r="AW22" s="39">
        <f>_xlfn.FLOOR.MATH((($AI22-1)*Characters!$Q$12+Characters!$J$12+$AK$4)*5/2)</f>
        <v>131</v>
      </c>
      <c r="AX22" s="38">
        <f>_xlfn.FLOOR.MATH((($AI22-1)*Characters!$N$7+Characters!$G$7+$AK$2)*10/2) + _xlfn.FLOOR.MATH((($AI22-1)*Characters!$P$7+Characters!$I$7+$AK$3)*5/2)</f>
        <v>90</v>
      </c>
      <c r="AY22" s="39">
        <f>_xlfn.FLOOR.MATH((($AI22-1)*Characters!$N$8+Characters!$G$8+$AK$2)*10/2) + _xlfn.FLOOR.MATH((($AI22-1)*Characters!$P$8+Characters!$I$8+$AK$3)*5/2)</f>
        <v>143</v>
      </c>
      <c r="AZ22" s="39">
        <f>_xlfn.FLOOR.MATH((($AI22-1)*Characters!$N$9+Characters!$G$9+$AK$2)*10/2) + _xlfn.FLOOR.MATH((($AI22-1)*Characters!$P$9+Characters!$I$9+$AK$3)*5/2)</f>
        <v>59</v>
      </c>
      <c r="BA22" s="39">
        <f>_xlfn.FLOOR.MATH((($AI22-1)*Characters!$N$10+Characters!$G$10+$AK$2)*10/2) + _xlfn.FLOOR.MATH((($AI22-1)*Characters!$P$10+Characters!$I$10+$AK$3)*5/2)</f>
        <v>154</v>
      </c>
      <c r="BB22" s="39">
        <f>_xlfn.FLOOR.MATH((($AI22-1)*Characters!$N$11+Characters!$G$11+$AK$2)*10/2) + _xlfn.FLOOR.MATH((($AI22-1)*Characters!$P$11+Characters!$I$11+$AK$3)*5/2)</f>
        <v>65</v>
      </c>
      <c r="BC22" s="33">
        <f>_xlfn.FLOOR.MATH((($AI22-1)*Characters!$N$12+Characters!$G$12+$AK$2)*10/2) + _xlfn.FLOOR.MATH((($AI22-1)*Characters!$P$12+Characters!$I$12+$AK$3)*5/2)</f>
        <v>150</v>
      </c>
    </row>
    <row r="23" spans="1:55" ht="18" customHeight="1">
      <c r="A23" s="38">
        <v>16</v>
      </c>
      <c r="B23" s="20">
        <f t="shared" si="3"/>
        <v>9</v>
      </c>
      <c r="C23" s="20">
        <f t="shared" si="4"/>
        <v>7</v>
      </c>
      <c r="D23" s="52">
        <f t="shared" si="5"/>
        <v>14</v>
      </c>
      <c r="E23" s="52">
        <f t="shared" si="9"/>
        <v>42</v>
      </c>
      <c r="F23" s="67">
        <f t="shared" si="0"/>
        <v>23</v>
      </c>
      <c r="G23" s="52">
        <f t="shared" si="1"/>
        <v>128.95000000000002</v>
      </c>
      <c r="H23" s="52">
        <f t="shared" si="6"/>
        <v>386.85000000000008</v>
      </c>
      <c r="I23" s="52">
        <f t="shared" si="7"/>
        <v>257.90000000000003</v>
      </c>
      <c r="J23" s="69">
        <f t="shared" si="10"/>
        <v>1803.2000000000003</v>
      </c>
      <c r="K23" s="70">
        <f t="shared" si="8"/>
        <v>16</v>
      </c>
      <c r="L23" s="132"/>
      <c r="M23" s="38">
        <f>Characters!$F$13+((Characters!$M$13 )*(Floor!$F23-1))</f>
        <v>1470</v>
      </c>
      <c r="N23" s="39">
        <f>Characters!$F$14+((Characters!$M$14 )*(Floor!F23-1))</f>
        <v>1470</v>
      </c>
      <c r="O23" s="39">
        <f>Characters!$F$15+((Characters!$M$15 )*(Floor!$F23-1))</f>
        <v>1470</v>
      </c>
      <c r="P23" s="39">
        <f>Characters!$F$16+((Characters!$M$16 )*(Floor!$F23-1))</f>
        <v>1470</v>
      </c>
      <c r="Q23" s="39">
        <f>Characters!$F$17+((Characters!$M$17)*(Floor!$F23-1))</f>
        <v>1470</v>
      </c>
      <c r="R23" s="39">
        <f>Characters!$F$18+((Characters!$M$18 )*(Floor!$F23-1))</f>
        <v>1470</v>
      </c>
      <c r="S23" s="33">
        <f>Characters!$F$19+((Characters!$M$19 )*(Floor!$F23-1))</f>
        <v>1470</v>
      </c>
      <c r="T23" s="38">
        <f>_xlfn.FLOOR.MATH((Characters!$J$13+Characters!$Q$13*(Floor!$F23-1))*5/2)</f>
        <v>185</v>
      </c>
      <c r="U23" s="39">
        <f>_xlfn.FLOOR.MATH((Characters!$J$14+Characters!$Q$14*(Floor!$F23-1))*5/2)</f>
        <v>185</v>
      </c>
      <c r="V23" s="39">
        <f>_xlfn.FLOOR.MATH((Characters!$J$15+Characters!$Q$15*(Floor!$F23-1))*5/2)</f>
        <v>185</v>
      </c>
      <c r="W23" s="39">
        <f>_xlfn.FLOOR.MATH((Characters!$J$16+Characters!$Q$16*(Floor!$F23-1))*5/2)</f>
        <v>185</v>
      </c>
      <c r="X23" s="39">
        <f>_xlfn.FLOOR.MATH((Characters!$J$17+Characters!$Q$17*(Floor!$F23-1))*5/2)</f>
        <v>185</v>
      </c>
      <c r="Y23" s="39">
        <f>_xlfn.FLOOR.MATH((Characters!$J$18+Characters!$Q$18*(Floor!$F23-1))*5/2)</f>
        <v>185</v>
      </c>
      <c r="Z23" s="39">
        <f>_xlfn.FLOOR.MATH((Characters!$J$19+Characters!$Q$19*(Floor!$F23-1))*5/2)</f>
        <v>185</v>
      </c>
      <c r="AA23" s="38">
        <f>_xlfn.FLOOR.MATH((Characters!$G$13+Characters!$N$13*(Floor!$F23-1))*10/2) + _xlfn.FLOOR.MATH((($AI23-1)*Characters!$P$13+Characters!$I$13)*5/2)</f>
        <v>180</v>
      </c>
      <c r="AB23" s="39">
        <f>_xlfn.FLOOR.MATH((Characters!$G$14+Characters!$N$14*(Floor!$F23-1))*10/2) + _xlfn.FLOOR.MATH((($AI23-1)*Characters!$P$14+Characters!$I$14)*5/2)</f>
        <v>180</v>
      </c>
      <c r="AC23" s="39">
        <f>_xlfn.FLOOR.MATH((Characters!$G$15+Characters!$N$15*(Floor!$F23-1))*10/2) + _xlfn.FLOOR.MATH((($AI23-1)*Characters!$P$15+Characters!$I$15)*5/2)</f>
        <v>180</v>
      </c>
      <c r="AD23" s="39">
        <f>_xlfn.FLOOR.MATH((Characters!$G$16+Characters!$N$16*(Floor!$F23-1))*10/2) + _xlfn.FLOOR.MATH((($AI23-1)*Characters!$P$16+Characters!$I$16)*5/2)</f>
        <v>180</v>
      </c>
      <c r="AE23" s="39">
        <f>_xlfn.FLOOR.MATH((Characters!$G$17+Characters!$N$17*(Floor!$F23-1))*10/2) + _xlfn.FLOOR.MATH((($AI23-1)*Characters!$P$17+Characters!$I$17)*5/2)</f>
        <v>180</v>
      </c>
      <c r="AF23" s="39">
        <f>_xlfn.FLOOR.MATH((Characters!$G$18+Characters!$N$18*(Floor!$F23-1))*10/2) + _xlfn.FLOOR.MATH((($AI23-1)*Characters!$P$18+Characters!$I$18)*5/2)</f>
        <v>180</v>
      </c>
      <c r="AG23" s="33">
        <f>_xlfn.FLOOR.MATH((Characters!$G$19+Characters!$N$19*(Floor!$F23-1))*10/2) + _xlfn.FLOOR.MATH((($AI23-1)*Characters!$P$19+Characters!$I$19)*5/2)</f>
        <v>180</v>
      </c>
      <c r="AH23" s="136"/>
      <c r="AI23" s="102">
        <v>16</v>
      </c>
      <c r="AJ23" s="106">
        <f t="shared" si="2"/>
        <v>259.40000000000003</v>
      </c>
      <c r="AK23" s="107">
        <f t="shared" si="11"/>
        <v>1555.2</v>
      </c>
      <c r="AL23" s="102">
        <f>_xlfn.FLOOR.MATH(($AI23-1)*Characters!$M$7+Characters!$F$7)+$AK$5</f>
        <v>4850</v>
      </c>
      <c r="AM23" s="103">
        <f>_xlfn.FLOOR.MATH(($AI23-1)*Characters!$M$8+Characters!$F$8)+$AK$5</f>
        <v>5200</v>
      </c>
      <c r="AN23" s="103">
        <f>_xlfn.FLOOR.MATH(($AI23-1)*Characters!$M$9+Characters!$F$9)+$AK$5</f>
        <v>4705</v>
      </c>
      <c r="AO23" s="103">
        <f>_xlfn.FLOOR.MATH(($AI23-1)*Characters!$M$10+Characters!$F$10)+$AK$5</f>
        <v>4885</v>
      </c>
      <c r="AP23" s="103">
        <f>_xlfn.FLOOR.MATH(($AI23-1)*Characters!$M$11+Characters!$F$11)+$AK$5</f>
        <v>4705</v>
      </c>
      <c r="AQ23" s="103">
        <f>_xlfn.FLOOR.MATH(($AI23-1)*Characters!$M$12+Characters!$F$12)+$AK$5</f>
        <v>4960</v>
      </c>
      <c r="AR23" s="102">
        <f>_xlfn.FLOOR.MATH((($AI23-1)*Characters!$Q$7+Characters!$J$7+$AK$4)*5/2)</f>
        <v>121</v>
      </c>
      <c r="AS23" s="103">
        <f>_xlfn.FLOOR.MATH((($AI23-1)*Characters!$Q$8+Characters!$J$8+$AK$4)*5/2)</f>
        <v>132</v>
      </c>
      <c r="AT23" s="103">
        <f>_xlfn.FLOOR.MATH((($AI23-1)*Characters!$Q$9+Characters!$J$9+$AK$4)*5/2)</f>
        <v>116</v>
      </c>
      <c r="AU23" s="103">
        <f>_xlfn.FLOOR.MATH((($AI23-1)*Characters!$Q$10+Characters!$J$10+$AK$4)*5/2)</f>
        <v>123</v>
      </c>
      <c r="AV23" s="103">
        <f>_xlfn.FLOOR.MATH((($AI23-1)*Characters!$Q$11+Characters!$J$11+$AK$4)*5/2)</f>
        <v>113</v>
      </c>
      <c r="AW23" s="103">
        <f>_xlfn.FLOOR.MATH((($AI23-1)*Characters!$Q$12+Characters!$J$12+$AK$4)*5/2)</f>
        <v>132</v>
      </c>
      <c r="AX23" s="102">
        <f>_xlfn.FLOOR.MATH((($AI23-1)*Characters!$N$7+Characters!$G$7+$AK$2)*10/2) + _xlfn.FLOOR.MATH((($AI23-1)*Characters!$P$7+Characters!$I$7+$AK$3)*5/2)</f>
        <v>93</v>
      </c>
      <c r="AY23" s="103">
        <f>_xlfn.FLOOR.MATH((($AI23-1)*Characters!$N$8+Characters!$G$8+$AK$2)*10/2) + _xlfn.FLOOR.MATH((($AI23-1)*Characters!$P$8+Characters!$I$8+$AK$3)*5/2)</f>
        <v>147</v>
      </c>
      <c r="AZ23" s="103">
        <f>_xlfn.FLOOR.MATH((($AI23-1)*Characters!$N$9+Characters!$G$9+$AK$2)*10/2) + _xlfn.FLOOR.MATH((($AI23-1)*Characters!$P$9+Characters!$I$9+$AK$3)*5/2)</f>
        <v>61</v>
      </c>
      <c r="BA23" s="103">
        <f>_xlfn.FLOOR.MATH((($AI23-1)*Characters!$N$10+Characters!$G$10+$AK$2)*10/2) + _xlfn.FLOOR.MATH((($AI23-1)*Characters!$P$10+Characters!$I$10+$AK$3)*5/2)</f>
        <v>159</v>
      </c>
      <c r="BB23" s="103">
        <f>_xlfn.FLOOR.MATH((($AI23-1)*Characters!$N$11+Characters!$G$11+$AK$2)*10/2) + _xlfn.FLOOR.MATH((($AI23-1)*Characters!$P$11+Characters!$I$11+$AK$3)*5/2)</f>
        <v>67</v>
      </c>
      <c r="BC23" s="104">
        <f>_xlfn.FLOOR.MATH((($AI23-1)*Characters!$N$12+Characters!$G$12+$AK$2)*10/2) + _xlfn.FLOOR.MATH((($AI23-1)*Characters!$P$12+Characters!$I$12+$AK$3)*5/2)</f>
        <v>155</v>
      </c>
    </row>
    <row r="24" spans="1:55" ht="18" customHeight="1">
      <c r="A24" s="38">
        <v>17</v>
      </c>
      <c r="B24" s="20">
        <f t="shared" si="3"/>
        <v>9</v>
      </c>
      <c r="C24" s="20">
        <f t="shared" si="4"/>
        <v>7</v>
      </c>
      <c r="D24" s="52">
        <f t="shared" si="5"/>
        <v>14</v>
      </c>
      <c r="E24" s="52">
        <f t="shared" si="9"/>
        <v>42</v>
      </c>
      <c r="F24" s="67">
        <f t="shared" si="0"/>
        <v>25</v>
      </c>
      <c r="G24" s="52">
        <f t="shared" si="1"/>
        <v>140.15</v>
      </c>
      <c r="H24" s="52">
        <f t="shared" si="6"/>
        <v>420.45000000000005</v>
      </c>
      <c r="I24" s="52">
        <f t="shared" si="7"/>
        <v>280.3</v>
      </c>
      <c r="J24" s="69">
        <f t="shared" si="10"/>
        <v>2083.5000000000005</v>
      </c>
      <c r="K24" s="70">
        <f t="shared" si="8"/>
        <v>17</v>
      </c>
      <c r="L24" s="132"/>
      <c r="M24" s="38">
        <f>Characters!$F$13+((Characters!$M$13 )*(Floor!$F24-1))</f>
        <v>1590</v>
      </c>
      <c r="N24" s="39">
        <f>Characters!$F$14+((Characters!$M$14 )*(Floor!F24-1))</f>
        <v>1590</v>
      </c>
      <c r="O24" s="39">
        <f>Characters!$F$15+((Characters!$M$15 )*(Floor!$F24-1))</f>
        <v>1590</v>
      </c>
      <c r="P24" s="39">
        <f>Characters!$F$16+((Characters!$M$16 )*(Floor!$F24-1))</f>
        <v>1590</v>
      </c>
      <c r="Q24" s="39">
        <f>Characters!$F$17+((Characters!$M$17)*(Floor!$F24-1))</f>
        <v>1590</v>
      </c>
      <c r="R24" s="39">
        <f>Characters!$F$18+((Characters!$M$18 )*(Floor!$F24-1))</f>
        <v>1590</v>
      </c>
      <c r="S24" s="33">
        <f>Characters!$F$19+((Characters!$M$19 )*(Floor!$F24-1))</f>
        <v>1590</v>
      </c>
      <c r="T24" s="38">
        <f>_xlfn.FLOOR.MATH((Characters!$J$13+Characters!$Q$13*(Floor!$F24-1))*5/2)</f>
        <v>200</v>
      </c>
      <c r="U24" s="39">
        <f>_xlfn.FLOOR.MATH((Characters!$J$14+Characters!$Q$14*(Floor!$F24-1))*5/2)</f>
        <v>200</v>
      </c>
      <c r="V24" s="39">
        <f>_xlfn.FLOOR.MATH((Characters!$J$15+Characters!$Q$15*(Floor!$F24-1))*5/2)</f>
        <v>200</v>
      </c>
      <c r="W24" s="39">
        <f>_xlfn.FLOOR.MATH((Characters!$J$16+Characters!$Q$16*(Floor!$F24-1))*5/2)</f>
        <v>200</v>
      </c>
      <c r="X24" s="39">
        <f>_xlfn.FLOOR.MATH((Characters!$J$17+Characters!$Q$17*(Floor!$F24-1))*5/2)</f>
        <v>200</v>
      </c>
      <c r="Y24" s="39">
        <f>_xlfn.FLOOR.MATH((Characters!$J$18+Characters!$Q$18*(Floor!$F24-1))*5/2)</f>
        <v>200</v>
      </c>
      <c r="Z24" s="39">
        <f>_xlfn.FLOOR.MATH((Characters!$J$19+Characters!$Q$19*(Floor!$F24-1))*5/2)</f>
        <v>200</v>
      </c>
      <c r="AA24" s="38">
        <f>_xlfn.FLOOR.MATH((Characters!$G$13+Characters!$N$13*(Floor!$F24-1))*10/2) + _xlfn.FLOOR.MATH((($AI24-1)*Characters!$P$13+Characters!$I$13)*5/2)</f>
        <v>194</v>
      </c>
      <c r="AB24" s="39">
        <f>_xlfn.FLOOR.MATH((Characters!$G$14+Characters!$N$14*(Floor!$F24-1))*10/2) + _xlfn.FLOOR.MATH((($AI24-1)*Characters!$P$14+Characters!$I$14)*5/2)</f>
        <v>194</v>
      </c>
      <c r="AC24" s="39">
        <f>_xlfn.FLOOR.MATH((Characters!$G$15+Characters!$N$15*(Floor!$F24-1))*10/2) + _xlfn.FLOOR.MATH((($AI24-1)*Characters!$P$15+Characters!$I$15)*5/2)</f>
        <v>194</v>
      </c>
      <c r="AD24" s="39">
        <f>_xlfn.FLOOR.MATH((Characters!$G$16+Characters!$N$16*(Floor!$F24-1))*10/2) + _xlfn.FLOOR.MATH((($AI24-1)*Characters!$P$16+Characters!$I$16)*5/2)</f>
        <v>194</v>
      </c>
      <c r="AE24" s="39">
        <f>_xlfn.FLOOR.MATH((Characters!$G$17+Characters!$N$17*(Floor!$F24-1))*10/2) + _xlfn.FLOOR.MATH((($AI24-1)*Characters!$P$17+Characters!$I$17)*5/2)</f>
        <v>194</v>
      </c>
      <c r="AF24" s="39">
        <f>_xlfn.FLOOR.MATH((Characters!$G$18+Characters!$N$18*(Floor!$F24-1))*10/2) + _xlfn.FLOOR.MATH((($AI24-1)*Characters!$P$18+Characters!$I$18)*5/2)</f>
        <v>194</v>
      </c>
      <c r="AG24" s="33">
        <f>_xlfn.FLOOR.MATH((Characters!$G$19+Characters!$N$19*(Floor!$F24-1))*10/2) + _xlfn.FLOOR.MATH((($AI24-1)*Characters!$P$19+Characters!$I$19)*5/2)</f>
        <v>194</v>
      </c>
      <c r="AH24" s="136"/>
      <c r="AI24" s="38">
        <v>17</v>
      </c>
      <c r="AJ24" s="71">
        <f t="shared" si="2"/>
        <v>292.36</v>
      </c>
      <c r="AK24" s="105">
        <f t="shared" si="11"/>
        <v>1847.56</v>
      </c>
      <c r="AL24" s="38">
        <f>_xlfn.FLOOR.MATH(($AI24-1)*Characters!$M$7+Characters!$F$7)+$AK$5</f>
        <v>4880</v>
      </c>
      <c r="AM24" s="39">
        <f>_xlfn.FLOOR.MATH(($AI24-1)*Characters!$M$8+Characters!$F$8)+$AK$5</f>
        <v>5250</v>
      </c>
      <c r="AN24" s="39">
        <f>_xlfn.FLOOR.MATH(($AI24-1)*Characters!$M$9+Characters!$F$9)+$AK$5</f>
        <v>4730</v>
      </c>
      <c r="AO24" s="39">
        <f>_xlfn.FLOOR.MATH(($AI24-1)*Characters!$M$10+Characters!$F$10)+$AK$5</f>
        <v>4920</v>
      </c>
      <c r="AP24" s="39">
        <f>_xlfn.FLOOR.MATH(($AI24-1)*Characters!$M$11+Characters!$F$11)+$AK$5</f>
        <v>4730</v>
      </c>
      <c r="AQ24" s="39">
        <f>_xlfn.FLOOR.MATH(($AI24-1)*Characters!$M$12+Characters!$F$12)+$AK$5</f>
        <v>5000</v>
      </c>
      <c r="AR24" s="38">
        <f>_xlfn.FLOOR.MATH((($AI24-1)*Characters!$Q$7+Characters!$J$7+$AK$4)*5/2)</f>
        <v>122</v>
      </c>
      <c r="AS24" s="39">
        <f>_xlfn.FLOOR.MATH((($AI24-1)*Characters!$Q$8+Characters!$J$8+$AK$4)*5/2)</f>
        <v>134</v>
      </c>
      <c r="AT24" s="39">
        <f>_xlfn.FLOOR.MATH((($AI24-1)*Characters!$Q$9+Characters!$J$9+$AK$4)*5/2)</f>
        <v>117</v>
      </c>
      <c r="AU24" s="39">
        <f>_xlfn.FLOOR.MATH((($AI24-1)*Characters!$Q$10+Characters!$J$10+$AK$4)*5/2)</f>
        <v>125</v>
      </c>
      <c r="AV24" s="39">
        <f>_xlfn.FLOOR.MATH((($AI24-1)*Characters!$Q$11+Characters!$J$11+$AK$4)*5/2)</f>
        <v>114</v>
      </c>
      <c r="AW24" s="39">
        <f>_xlfn.FLOOR.MATH((($AI24-1)*Characters!$Q$12+Characters!$J$12+$AK$4)*5/2)</f>
        <v>134</v>
      </c>
      <c r="AX24" s="38">
        <f>_xlfn.FLOOR.MATH((($AI24-1)*Characters!$N$7+Characters!$G$7+$AK$2)*10/2) + _xlfn.FLOOR.MATH((($AI24-1)*Characters!$P$7+Characters!$I$7+$AK$3)*5/2)</f>
        <v>97</v>
      </c>
      <c r="AY24" s="39">
        <f>_xlfn.FLOOR.MATH((($AI24-1)*Characters!$N$8+Characters!$G$8+$AK$2)*10/2) + _xlfn.FLOOR.MATH((($AI24-1)*Characters!$P$8+Characters!$I$8+$AK$3)*5/2)</f>
        <v>152</v>
      </c>
      <c r="AZ24" s="39">
        <f>_xlfn.FLOOR.MATH((($AI24-1)*Characters!$N$9+Characters!$G$9+$AK$2)*10/2) + _xlfn.FLOOR.MATH((($AI24-1)*Characters!$P$9+Characters!$I$9+$AK$3)*5/2)</f>
        <v>63</v>
      </c>
      <c r="BA24" s="39">
        <f>_xlfn.FLOOR.MATH((($AI24-1)*Characters!$N$10+Characters!$G$10+$AK$2)*10/2) + _xlfn.FLOOR.MATH((($AI24-1)*Characters!$P$10+Characters!$I$10+$AK$3)*5/2)</f>
        <v>165</v>
      </c>
      <c r="BB24" s="39">
        <f>_xlfn.FLOOR.MATH((($AI24-1)*Characters!$N$11+Characters!$G$11+$AK$2)*10/2) + _xlfn.FLOOR.MATH((($AI24-1)*Characters!$P$11+Characters!$I$11+$AK$3)*5/2)</f>
        <v>69</v>
      </c>
      <c r="BC24" s="33">
        <f>_xlfn.FLOOR.MATH((($AI24-1)*Characters!$N$12+Characters!$G$12+$AK$2)*10/2) + _xlfn.FLOOR.MATH((($AI24-1)*Characters!$P$12+Characters!$I$12+$AK$3)*5/2)</f>
        <v>160</v>
      </c>
    </row>
    <row r="25" spans="1:55" ht="18" customHeight="1">
      <c r="A25" s="38">
        <v>18</v>
      </c>
      <c r="B25" s="20">
        <f t="shared" si="3"/>
        <v>9</v>
      </c>
      <c r="C25" s="20">
        <f t="shared" si="4"/>
        <v>7</v>
      </c>
      <c r="D25" s="52">
        <f t="shared" si="5"/>
        <v>14</v>
      </c>
      <c r="E25" s="52">
        <f t="shared" si="9"/>
        <v>42</v>
      </c>
      <c r="F25" s="67">
        <f t="shared" si="0"/>
        <v>26</v>
      </c>
      <c r="G25" s="52">
        <f t="shared" si="1"/>
        <v>145.75</v>
      </c>
      <c r="H25" s="52">
        <f t="shared" si="6"/>
        <v>437.25000000000006</v>
      </c>
      <c r="I25" s="52">
        <f t="shared" si="7"/>
        <v>291.5</v>
      </c>
      <c r="J25" s="69">
        <f t="shared" si="10"/>
        <v>2375.0000000000005</v>
      </c>
      <c r="K25" s="70">
        <f t="shared" si="8"/>
        <v>18</v>
      </c>
      <c r="L25" s="132"/>
      <c r="M25" s="38">
        <f>Characters!$F$13+((Characters!$M$13 )*(Floor!$F25-1))</f>
        <v>1650</v>
      </c>
      <c r="N25" s="39">
        <f>Characters!$F$14+((Characters!$M$14 )*(Floor!F25-1))</f>
        <v>1650</v>
      </c>
      <c r="O25" s="39">
        <f>Characters!$F$15+((Characters!$M$15 )*(Floor!$F25-1))</f>
        <v>1650</v>
      </c>
      <c r="P25" s="39">
        <f>Characters!$F$16+((Characters!$M$16 )*(Floor!$F25-1))</f>
        <v>1650</v>
      </c>
      <c r="Q25" s="39">
        <f>Characters!$F$17+((Characters!$M$17)*(Floor!$F25-1))</f>
        <v>1650</v>
      </c>
      <c r="R25" s="39">
        <f>Characters!$F$18+((Characters!$M$18 )*(Floor!$F25-1))</f>
        <v>1650</v>
      </c>
      <c r="S25" s="33">
        <f>Characters!$F$19+((Characters!$M$19 )*(Floor!$F25-1))</f>
        <v>1650</v>
      </c>
      <c r="T25" s="38">
        <f>_xlfn.FLOOR.MATH((Characters!$J$13+Characters!$Q$13*(Floor!$F25-1))*5/2)</f>
        <v>207</v>
      </c>
      <c r="U25" s="39">
        <f>_xlfn.FLOOR.MATH((Characters!$J$14+Characters!$Q$14*(Floor!$F25-1))*5/2)</f>
        <v>207</v>
      </c>
      <c r="V25" s="39">
        <f>_xlfn.FLOOR.MATH((Characters!$J$15+Characters!$Q$15*(Floor!$F25-1))*5/2)</f>
        <v>207</v>
      </c>
      <c r="W25" s="39">
        <f>_xlfn.FLOOR.MATH((Characters!$J$16+Characters!$Q$16*(Floor!$F25-1))*5/2)</f>
        <v>207</v>
      </c>
      <c r="X25" s="39">
        <f>_xlfn.FLOOR.MATH((Characters!$J$17+Characters!$Q$17*(Floor!$F25-1))*5/2)</f>
        <v>207</v>
      </c>
      <c r="Y25" s="39">
        <f>_xlfn.FLOOR.MATH((Characters!$J$18+Characters!$Q$18*(Floor!$F25-1))*5/2)</f>
        <v>207</v>
      </c>
      <c r="Z25" s="39">
        <f>_xlfn.FLOOR.MATH((Characters!$J$19+Characters!$Q$19*(Floor!$F25-1))*5/2)</f>
        <v>207</v>
      </c>
      <c r="AA25" s="38">
        <f>_xlfn.FLOOR.MATH((Characters!$G$13+Characters!$N$13*(Floor!$F25-1))*10/2) + _xlfn.FLOOR.MATH((($AI25-1)*Characters!$P$13+Characters!$I$13)*5/2)</f>
        <v>201</v>
      </c>
      <c r="AB25" s="39">
        <f>_xlfn.FLOOR.MATH((Characters!$G$14+Characters!$N$14*(Floor!$F25-1))*10/2) + _xlfn.FLOOR.MATH((($AI25-1)*Characters!$P$14+Characters!$I$14)*5/2)</f>
        <v>201</v>
      </c>
      <c r="AC25" s="39">
        <f>_xlfn.FLOOR.MATH((Characters!$G$15+Characters!$N$15*(Floor!$F25-1))*10/2) + _xlfn.FLOOR.MATH((($AI25-1)*Characters!$P$15+Characters!$I$15)*5/2)</f>
        <v>201</v>
      </c>
      <c r="AD25" s="39">
        <f>_xlfn.FLOOR.MATH((Characters!$G$16+Characters!$N$16*(Floor!$F25-1))*10/2) + _xlfn.FLOOR.MATH((($AI25-1)*Characters!$P$16+Characters!$I$16)*5/2)</f>
        <v>201</v>
      </c>
      <c r="AE25" s="39">
        <f>_xlfn.FLOOR.MATH((Characters!$G$17+Characters!$N$17*(Floor!$F25-1))*10/2) + _xlfn.FLOOR.MATH((($AI25-1)*Characters!$P$17+Characters!$I$17)*5/2)</f>
        <v>201</v>
      </c>
      <c r="AF25" s="39">
        <f>_xlfn.FLOOR.MATH((Characters!$G$18+Characters!$N$18*(Floor!$F25-1))*10/2) + _xlfn.FLOOR.MATH((($AI25-1)*Characters!$P$18+Characters!$I$18)*5/2)</f>
        <v>201</v>
      </c>
      <c r="AG25" s="33">
        <f>_xlfn.FLOOR.MATH((Characters!$G$19+Characters!$N$19*(Floor!$F25-1))*10/2) + _xlfn.FLOOR.MATH((($AI25-1)*Characters!$P$19+Characters!$I$19)*5/2)</f>
        <v>201</v>
      </c>
      <c r="AH25" s="136"/>
      <c r="AI25" s="38">
        <v>18</v>
      </c>
      <c r="AJ25" s="71">
        <f t="shared" si="2"/>
        <v>327.32</v>
      </c>
      <c r="AK25" s="105">
        <f t="shared" si="11"/>
        <v>2174.88</v>
      </c>
      <c r="AL25" s="38">
        <f>_xlfn.FLOOR.MATH(($AI25-1)*Characters!$M$7+Characters!$F$7)+$AK$5</f>
        <v>4910</v>
      </c>
      <c r="AM25" s="39">
        <f>_xlfn.FLOOR.MATH(($AI25-1)*Characters!$M$8+Characters!$F$8)+$AK$5</f>
        <v>5300</v>
      </c>
      <c r="AN25" s="39">
        <f>_xlfn.FLOOR.MATH(($AI25-1)*Characters!$M$9+Characters!$F$9)+$AK$5</f>
        <v>4755</v>
      </c>
      <c r="AO25" s="39">
        <f>_xlfn.FLOOR.MATH(($AI25-1)*Characters!$M$10+Characters!$F$10)+$AK$5</f>
        <v>4955</v>
      </c>
      <c r="AP25" s="39">
        <f>_xlfn.FLOOR.MATH(($AI25-1)*Characters!$M$11+Characters!$F$11)+$AK$5</f>
        <v>4755</v>
      </c>
      <c r="AQ25" s="39">
        <f>_xlfn.FLOOR.MATH(($AI25-1)*Characters!$M$12+Characters!$F$12)+$AK$5</f>
        <v>5040</v>
      </c>
      <c r="AR25" s="38">
        <f>_xlfn.FLOOR.MATH((($AI25-1)*Characters!$Q$7+Characters!$J$7+$AK$4)*5/2)</f>
        <v>123</v>
      </c>
      <c r="AS25" s="39">
        <f>_xlfn.FLOOR.MATH((($AI25-1)*Characters!$Q$8+Characters!$J$8+$AK$4)*5/2)</f>
        <v>135</v>
      </c>
      <c r="AT25" s="39">
        <f>_xlfn.FLOOR.MATH((($AI25-1)*Characters!$Q$9+Characters!$J$9+$AK$4)*5/2)</f>
        <v>117</v>
      </c>
      <c r="AU25" s="39">
        <f>_xlfn.FLOOR.MATH((($AI25-1)*Characters!$Q$10+Characters!$J$10+$AK$4)*5/2)</f>
        <v>126</v>
      </c>
      <c r="AV25" s="39">
        <f>_xlfn.FLOOR.MATH((($AI25-1)*Characters!$Q$11+Characters!$J$11+$AK$4)*5/2)</f>
        <v>115</v>
      </c>
      <c r="AW25" s="39">
        <f>_xlfn.FLOOR.MATH((($AI25-1)*Characters!$Q$12+Characters!$J$12+$AK$4)*5/2)</f>
        <v>135</v>
      </c>
      <c r="AX25" s="38">
        <f>_xlfn.FLOOR.MATH((($AI25-1)*Characters!$N$7+Characters!$G$7+$AK$2)*10/2) + _xlfn.FLOOR.MATH((($AI25-1)*Characters!$P$7+Characters!$I$7+$AK$3)*5/2)</f>
        <v>100</v>
      </c>
      <c r="AY25" s="39">
        <f>_xlfn.FLOOR.MATH((($AI25-1)*Characters!$N$8+Characters!$G$8+$AK$2)*10/2) + _xlfn.FLOOR.MATH((($AI25-1)*Characters!$P$8+Characters!$I$8+$AK$3)*5/2)</f>
        <v>156</v>
      </c>
      <c r="AZ25" s="39">
        <f>_xlfn.FLOOR.MATH((($AI25-1)*Characters!$N$9+Characters!$G$9+$AK$2)*10/2) + _xlfn.FLOOR.MATH((($AI25-1)*Characters!$P$9+Characters!$I$9+$AK$3)*5/2)</f>
        <v>64</v>
      </c>
      <c r="BA25" s="39">
        <f>_xlfn.FLOOR.MATH((($AI25-1)*Characters!$N$10+Characters!$G$10+$AK$2)*10/2) + _xlfn.FLOOR.MATH((($AI25-1)*Characters!$P$10+Characters!$I$10+$AK$3)*5/2)</f>
        <v>170</v>
      </c>
      <c r="BB25" s="39">
        <f>_xlfn.FLOOR.MATH((($AI25-1)*Characters!$N$11+Characters!$G$11+$AK$2)*10/2) + _xlfn.FLOOR.MATH((($AI25-1)*Characters!$P$11+Characters!$I$11+$AK$3)*5/2)</f>
        <v>71</v>
      </c>
      <c r="BC25" s="33">
        <f>_xlfn.FLOOR.MATH((($AI25-1)*Characters!$N$12+Characters!$G$12+$AK$2)*10/2) + _xlfn.FLOOR.MATH((($AI25-1)*Characters!$P$12+Characters!$I$12+$AK$3)*5/2)</f>
        <v>165</v>
      </c>
    </row>
    <row r="26" spans="1:55" ht="18" customHeight="1">
      <c r="A26" s="38">
        <v>19</v>
      </c>
      <c r="B26" s="20">
        <f t="shared" si="3"/>
        <v>9</v>
      </c>
      <c r="C26" s="20">
        <f t="shared" si="4"/>
        <v>7</v>
      </c>
      <c r="D26" s="52">
        <f t="shared" si="5"/>
        <v>14</v>
      </c>
      <c r="E26" s="52">
        <f t="shared" si="9"/>
        <v>42</v>
      </c>
      <c r="F26" s="67">
        <f t="shared" si="0"/>
        <v>28</v>
      </c>
      <c r="G26" s="52">
        <f t="shared" si="1"/>
        <v>156.95000000000002</v>
      </c>
      <c r="H26" s="52">
        <f t="shared" si="6"/>
        <v>470.85000000000008</v>
      </c>
      <c r="I26" s="52">
        <f t="shared" si="7"/>
        <v>313.90000000000003</v>
      </c>
      <c r="J26" s="69">
        <f t="shared" si="10"/>
        <v>2688.9000000000005</v>
      </c>
      <c r="K26" s="70">
        <f t="shared" si="8"/>
        <v>19</v>
      </c>
      <c r="L26" s="132"/>
      <c r="M26" s="38">
        <f>Characters!$F$13+((Characters!$M$13 )*(Floor!$F26-1))</f>
        <v>1770</v>
      </c>
      <c r="N26" s="39">
        <f>Characters!$F$14+((Characters!$M$14 )*(Floor!F26-1))</f>
        <v>1770</v>
      </c>
      <c r="O26" s="39">
        <f>Characters!$F$15+((Characters!$M$15 )*(Floor!$F26-1))</f>
        <v>1770</v>
      </c>
      <c r="P26" s="39">
        <f>Characters!$F$16+((Characters!$M$16 )*(Floor!$F26-1))</f>
        <v>1770</v>
      </c>
      <c r="Q26" s="39">
        <f>Characters!$F$17+((Characters!$M$17)*(Floor!$F26-1))</f>
        <v>1770</v>
      </c>
      <c r="R26" s="39">
        <f>Characters!$F$18+((Characters!$M$18 )*(Floor!$F26-1))</f>
        <v>1770</v>
      </c>
      <c r="S26" s="33">
        <f>Characters!$F$19+((Characters!$M$19 )*(Floor!$F26-1))</f>
        <v>1770</v>
      </c>
      <c r="T26" s="38">
        <f>_xlfn.FLOOR.MATH((Characters!$J$13+Characters!$Q$13*(Floor!$F26-1))*5/2)</f>
        <v>222</v>
      </c>
      <c r="U26" s="39">
        <f>_xlfn.FLOOR.MATH((Characters!$J$14+Characters!$Q$14*(Floor!$F26-1))*5/2)</f>
        <v>222</v>
      </c>
      <c r="V26" s="39">
        <f>_xlfn.FLOOR.MATH((Characters!$J$15+Characters!$Q$15*(Floor!$F26-1))*5/2)</f>
        <v>222</v>
      </c>
      <c r="W26" s="39">
        <f>_xlfn.FLOOR.MATH((Characters!$J$16+Characters!$Q$16*(Floor!$F26-1))*5/2)</f>
        <v>222</v>
      </c>
      <c r="X26" s="39">
        <f>_xlfn.FLOOR.MATH((Characters!$J$17+Characters!$Q$17*(Floor!$F26-1))*5/2)</f>
        <v>222</v>
      </c>
      <c r="Y26" s="39">
        <f>_xlfn.FLOOR.MATH((Characters!$J$18+Characters!$Q$18*(Floor!$F26-1))*5/2)</f>
        <v>222</v>
      </c>
      <c r="Z26" s="39">
        <f>_xlfn.FLOOR.MATH((Characters!$J$19+Characters!$Q$19*(Floor!$F26-1))*5/2)</f>
        <v>222</v>
      </c>
      <c r="AA26" s="38">
        <f>_xlfn.FLOOR.MATH((Characters!$G$13+Characters!$N$13*(Floor!$F26-1))*10/2) + _xlfn.FLOOR.MATH((($AI26-1)*Characters!$P$13+Characters!$I$13)*5/2)</f>
        <v>214</v>
      </c>
      <c r="AB26" s="39">
        <f>_xlfn.FLOOR.MATH((Characters!$G$14+Characters!$N$14*(Floor!$F26-1))*10/2) + _xlfn.FLOOR.MATH((($AI26-1)*Characters!$P$14+Characters!$I$14)*5/2)</f>
        <v>214</v>
      </c>
      <c r="AC26" s="39">
        <f>_xlfn.FLOOR.MATH((Characters!$G$15+Characters!$N$15*(Floor!$F26-1))*10/2) + _xlfn.FLOOR.MATH((($AI26-1)*Characters!$P$15+Characters!$I$15)*5/2)</f>
        <v>214</v>
      </c>
      <c r="AD26" s="39">
        <f>_xlfn.FLOOR.MATH((Characters!$G$16+Characters!$N$16*(Floor!$F26-1))*10/2) + _xlfn.FLOOR.MATH((($AI26-1)*Characters!$P$16+Characters!$I$16)*5/2)</f>
        <v>214</v>
      </c>
      <c r="AE26" s="39">
        <f>_xlfn.FLOOR.MATH((Characters!$G$17+Characters!$N$17*(Floor!$F26-1))*10/2) + _xlfn.FLOOR.MATH((($AI26-1)*Characters!$P$17+Characters!$I$17)*5/2)</f>
        <v>214</v>
      </c>
      <c r="AF26" s="39">
        <f>_xlfn.FLOOR.MATH((Characters!$G$18+Characters!$N$18*(Floor!$F26-1))*10/2) + _xlfn.FLOOR.MATH((($AI26-1)*Characters!$P$18+Characters!$I$18)*5/2)</f>
        <v>214</v>
      </c>
      <c r="AG26" s="33">
        <f>_xlfn.FLOOR.MATH((Characters!$G$19+Characters!$N$19*(Floor!$F26-1))*10/2) + _xlfn.FLOOR.MATH((($AI26-1)*Characters!$P$19+Characters!$I$19)*5/2)</f>
        <v>214</v>
      </c>
      <c r="AH26" s="136"/>
      <c r="AI26" s="38">
        <v>19</v>
      </c>
      <c r="AJ26" s="71">
        <f t="shared" si="2"/>
        <v>364.28000000000003</v>
      </c>
      <c r="AK26" s="105">
        <f t="shared" si="11"/>
        <v>2539.1600000000003</v>
      </c>
      <c r="AL26" s="38">
        <f>_xlfn.FLOOR.MATH(($AI26-1)*Characters!$M$7+Characters!$F$7)+$AK$5</f>
        <v>4940</v>
      </c>
      <c r="AM26" s="39">
        <f>_xlfn.FLOOR.MATH(($AI26-1)*Characters!$M$8+Characters!$F$8)+$AK$5</f>
        <v>5350</v>
      </c>
      <c r="AN26" s="39">
        <f>_xlfn.FLOOR.MATH(($AI26-1)*Characters!$M$9+Characters!$F$9)+$AK$5</f>
        <v>4780</v>
      </c>
      <c r="AO26" s="39">
        <f>_xlfn.FLOOR.MATH(($AI26-1)*Characters!$M$10+Characters!$F$10)+$AK$5</f>
        <v>4990</v>
      </c>
      <c r="AP26" s="39">
        <f>_xlfn.FLOOR.MATH(($AI26-1)*Characters!$M$11+Characters!$F$11)+$AK$5</f>
        <v>4780</v>
      </c>
      <c r="AQ26" s="39">
        <f>_xlfn.FLOOR.MATH(($AI26-1)*Characters!$M$12+Characters!$F$12)+$AK$5</f>
        <v>5080</v>
      </c>
      <c r="AR26" s="38">
        <f>_xlfn.FLOOR.MATH((($AI26-1)*Characters!$Q$7+Characters!$J$7+$AK$4)*5/2)</f>
        <v>125</v>
      </c>
      <c r="AS26" s="39">
        <f>_xlfn.FLOOR.MATH((($AI26-1)*Characters!$Q$8+Characters!$J$8+$AK$4)*5/2)</f>
        <v>137</v>
      </c>
      <c r="AT26" s="39">
        <f>_xlfn.FLOOR.MATH((($AI26-1)*Characters!$Q$9+Characters!$J$9+$AK$4)*5/2)</f>
        <v>118</v>
      </c>
      <c r="AU26" s="39">
        <f>_xlfn.FLOOR.MATH((($AI26-1)*Characters!$Q$10+Characters!$J$10+$AK$4)*5/2)</f>
        <v>127</v>
      </c>
      <c r="AV26" s="39">
        <f>_xlfn.FLOOR.MATH((($AI26-1)*Characters!$Q$11+Characters!$J$11+$AK$4)*5/2)</f>
        <v>116</v>
      </c>
      <c r="AW26" s="39">
        <f>_xlfn.FLOOR.MATH((($AI26-1)*Characters!$Q$12+Characters!$J$12+$AK$4)*5/2)</f>
        <v>137</v>
      </c>
      <c r="AX26" s="38">
        <f>_xlfn.FLOOR.MATH((($AI26-1)*Characters!$N$7+Characters!$G$7+$AK$2)*10/2) + _xlfn.FLOOR.MATH((($AI26-1)*Characters!$P$7+Characters!$I$7+$AK$3)*5/2)</f>
        <v>105</v>
      </c>
      <c r="AY26" s="39">
        <f>_xlfn.FLOOR.MATH((($AI26-1)*Characters!$N$8+Characters!$G$8+$AK$2)*10/2) + _xlfn.FLOOR.MATH((($AI26-1)*Characters!$P$8+Characters!$I$8+$AK$3)*5/2)</f>
        <v>161</v>
      </c>
      <c r="AZ26" s="39">
        <f>_xlfn.FLOOR.MATH((($AI26-1)*Characters!$N$9+Characters!$G$9+$AK$2)*10/2) + _xlfn.FLOOR.MATH((($AI26-1)*Characters!$P$9+Characters!$I$9+$AK$3)*5/2)</f>
        <v>66</v>
      </c>
      <c r="BA26" s="39">
        <f>_xlfn.FLOOR.MATH((($AI26-1)*Characters!$N$10+Characters!$G$10+$AK$2)*10/2) + _xlfn.FLOOR.MATH((($AI26-1)*Characters!$P$10+Characters!$I$10+$AK$3)*5/2)</f>
        <v>176</v>
      </c>
      <c r="BB26" s="39">
        <f>_xlfn.FLOOR.MATH((($AI26-1)*Characters!$N$11+Characters!$G$11+$AK$2)*10/2) + _xlfn.FLOOR.MATH((($AI26-1)*Characters!$P$11+Characters!$I$11+$AK$3)*5/2)</f>
        <v>73</v>
      </c>
      <c r="BC26" s="33">
        <f>_xlfn.FLOOR.MATH((($AI26-1)*Characters!$N$12+Characters!$G$12+$AK$2)*10/2) + _xlfn.FLOOR.MATH((($AI26-1)*Characters!$P$12+Characters!$I$12+$AK$3)*5/2)</f>
        <v>170</v>
      </c>
    </row>
    <row r="27" spans="1:55" ht="18" customHeight="1">
      <c r="A27" s="73">
        <v>20</v>
      </c>
      <c r="B27" s="74">
        <f t="shared" si="3"/>
        <v>10</v>
      </c>
      <c r="C27" s="74">
        <f t="shared" si="4"/>
        <v>8</v>
      </c>
      <c r="D27" s="75">
        <f t="shared" si="5"/>
        <v>16</v>
      </c>
      <c r="E27" s="75">
        <f t="shared" si="9"/>
        <v>48</v>
      </c>
      <c r="F27" s="76">
        <f t="shared" si="0"/>
        <v>29</v>
      </c>
      <c r="G27" s="75">
        <f t="shared" si="1"/>
        <v>185.75000000000003</v>
      </c>
      <c r="H27" s="75">
        <f t="shared" si="6"/>
        <v>557.25000000000011</v>
      </c>
      <c r="I27" s="75">
        <f t="shared" si="7"/>
        <v>371.50000000000006</v>
      </c>
      <c r="J27" s="77">
        <f t="shared" si="10"/>
        <v>3060.4000000000005</v>
      </c>
      <c r="K27" s="72">
        <f t="shared" si="8"/>
        <v>20</v>
      </c>
      <c r="L27" s="132"/>
      <c r="M27" s="92">
        <f>Characters!$F$13+((Characters!$M$13 )*(Floor!$F27-1))</f>
        <v>1830</v>
      </c>
      <c r="N27" s="93">
        <f>Characters!$F$14+((Characters!$M$14 )*(Floor!F27-1))</f>
        <v>1830</v>
      </c>
      <c r="O27" s="93">
        <f>Characters!$F$15+((Characters!$M$15 )*(Floor!$F27-1))</f>
        <v>1830</v>
      </c>
      <c r="P27" s="93">
        <f>Characters!$F$16+((Characters!$M$16 )*(Floor!$F27-1))</f>
        <v>1830</v>
      </c>
      <c r="Q27" s="93">
        <f>Characters!$F$17+((Characters!$M$17)*(Floor!$F27-1))</f>
        <v>1830</v>
      </c>
      <c r="R27" s="93">
        <f>Characters!$F$18+((Characters!$M$18 )*(Floor!$F27-1))</f>
        <v>1830</v>
      </c>
      <c r="S27" s="94">
        <f>Characters!$F$19+((Characters!$M$19 )*(Floor!$F27-1))</f>
        <v>1830</v>
      </c>
      <c r="T27" s="95">
        <f>_xlfn.FLOOR.MATH((Characters!$J$13+Characters!$Q$13*(Floor!$F27-1))*5/2)</f>
        <v>230</v>
      </c>
      <c r="U27" s="96">
        <f>_xlfn.FLOOR.MATH((Characters!$J$14+Characters!$Q$14*(Floor!$F27-1))*5/2)</f>
        <v>230</v>
      </c>
      <c r="V27" s="96">
        <f>_xlfn.FLOOR.MATH((Characters!$J$15+Characters!$Q$15*(Floor!$F27-1))*5/2)</f>
        <v>230</v>
      </c>
      <c r="W27" s="96">
        <f>_xlfn.FLOOR.MATH((Characters!$J$16+Characters!$Q$16*(Floor!$F27-1))*5/2)</f>
        <v>230</v>
      </c>
      <c r="X27" s="96">
        <f>_xlfn.FLOOR.MATH((Characters!$J$17+Characters!$Q$17*(Floor!$F27-1))*5/2)</f>
        <v>230</v>
      </c>
      <c r="Y27" s="96">
        <f>_xlfn.FLOOR.MATH((Characters!$J$18+Characters!$Q$18*(Floor!$F27-1))*5/2)</f>
        <v>230</v>
      </c>
      <c r="Z27" s="96">
        <f>_xlfn.FLOOR.MATH((Characters!$J$19+Characters!$Q$19*(Floor!$F27-1))*5/2)</f>
        <v>230</v>
      </c>
      <c r="AA27" s="117">
        <f>_xlfn.FLOOR.MATH((Characters!$G$13+Characters!$N$13*(Floor!$F27-1))*10/2) + _xlfn.FLOOR.MATH((($AI27-1)*Characters!$P$13+Characters!$I$13)*5/2)</f>
        <v>221</v>
      </c>
      <c r="AB27" s="118">
        <f>_xlfn.FLOOR.MATH((Characters!$G$14+Characters!$N$14*(Floor!$F27-1))*10/2) + _xlfn.FLOOR.MATH((($AI27-1)*Characters!$P$14+Characters!$I$14)*5/2)</f>
        <v>221</v>
      </c>
      <c r="AC27" s="118">
        <f>_xlfn.FLOOR.MATH((Characters!$G$15+Characters!$N$15*(Floor!$F27-1))*10/2) + _xlfn.FLOOR.MATH((($AI27-1)*Characters!$P$15+Characters!$I$15)*5/2)</f>
        <v>221</v>
      </c>
      <c r="AD27" s="118">
        <f>_xlfn.FLOOR.MATH((Characters!$G$16+Characters!$N$16*(Floor!$F27-1))*10/2) + _xlfn.FLOOR.MATH((($AI27-1)*Characters!$P$16+Characters!$I$16)*5/2)</f>
        <v>221</v>
      </c>
      <c r="AE27" s="118">
        <f>_xlfn.FLOOR.MATH((Characters!$G$17+Characters!$N$17*(Floor!$F27-1))*10/2) + _xlfn.FLOOR.MATH((($AI27-1)*Characters!$P$17+Characters!$I$17)*5/2)</f>
        <v>221</v>
      </c>
      <c r="AF27" s="118">
        <f>_xlfn.FLOOR.MATH((Characters!$G$18+Characters!$N$18*(Floor!$F27-1))*10/2) + _xlfn.FLOOR.MATH((($AI27-1)*Characters!$P$18+Characters!$I$18)*5/2)</f>
        <v>221</v>
      </c>
      <c r="AG27" s="119">
        <f>_xlfn.FLOOR.MATH((Characters!$G$19+Characters!$N$19*(Floor!$F27-1))*10/2) + _xlfn.FLOOR.MATH((($AI27-1)*Characters!$P$19+Characters!$I$19)*5/2)</f>
        <v>221</v>
      </c>
      <c r="AH27" s="136"/>
      <c r="AI27" s="38">
        <v>20</v>
      </c>
      <c r="AJ27" s="71">
        <f t="shared" si="2"/>
        <v>403.24</v>
      </c>
      <c r="AK27" s="105">
        <f t="shared" si="11"/>
        <v>2942.4000000000005</v>
      </c>
      <c r="AL27" s="38">
        <f>_xlfn.FLOOR.MATH(($AI27-1)*Characters!$M$7+Characters!$F$7)+$AK$5</f>
        <v>4970</v>
      </c>
      <c r="AM27" s="39">
        <f>_xlfn.FLOOR.MATH(($AI27-1)*Characters!$M$8+Characters!$F$8)+$AK$5</f>
        <v>5400</v>
      </c>
      <c r="AN27" s="39">
        <f>_xlfn.FLOOR.MATH(($AI27-1)*Characters!$M$9+Characters!$F$9)+$AK$5</f>
        <v>4805</v>
      </c>
      <c r="AO27" s="39">
        <f>_xlfn.FLOOR.MATH(($AI27-1)*Characters!$M$10+Characters!$F$10)+$AK$5</f>
        <v>5025</v>
      </c>
      <c r="AP27" s="39">
        <f>_xlfn.FLOOR.MATH(($AI27-1)*Characters!$M$11+Characters!$F$11)+$AK$5</f>
        <v>4805</v>
      </c>
      <c r="AQ27" s="39">
        <f>_xlfn.FLOOR.MATH(($AI27-1)*Characters!$M$12+Characters!$F$12)+$AK$5</f>
        <v>5120</v>
      </c>
      <c r="AR27" s="38">
        <f>_xlfn.FLOOR.MATH((($AI27-1)*Characters!$Q$7+Characters!$J$7+$AK$4)*5/2)</f>
        <v>126</v>
      </c>
      <c r="AS27" s="39">
        <f>_xlfn.FLOOR.MATH((($AI27-1)*Characters!$Q$8+Characters!$J$8+$AK$4)*5/2)</f>
        <v>138</v>
      </c>
      <c r="AT27" s="39">
        <f>_xlfn.FLOOR.MATH((($AI27-1)*Characters!$Q$9+Characters!$J$9+$AK$4)*5/2)</f>
        <v>119</v>
      </c>
      <c r="AU27" s="39">
        <f>_xlfn.FLOOR.MATH((($AI27-1)*Characters!$Q$10+Characters!$J$10+$AK$4)*5/2)</f>
        <v>128</v>
      </c>
      <c r="AV27" s="39">
        <f>_xlfn.FLOOR.MATH((($AI27-1)*Characters!$Q$11+Characters!$J$11+$AK$4)*5/2)</f>
        <v>116</v>
      </c>
      <c r="AW27" s="39">
        <f>_xlfn.FLOOR.MATH((($AI27-1)*Characters!$Q$12+Characters!$J$12+$AK$4)*5/2)</f>
        <v>138</v>
      </c>
      <c r="AX27" s="38">
        <f>_xlfn.FLOOR.MATH((($AI27-1)*Characters!$N$7+Characters!$G$7+$AK$2)*10/2) + _xlfn.FLOOR.MATH((($AI27-1)*Characters!$P$7+Characters!$I$7+$AK$3)*5/2)</f>
        <v>108</v>
      </c>
      <c r="AY27" s="39">
        <f>_xlfn.FLOOR.MATH((($AI27-1)*Characters!$N$8+Characters!$G$8+$AK$2)*10/2) + _xlfn.FLOOR.MATH((($AI27-1)*Characters!$P$8+Characters!$I$8+$AK$3)*5/2)</f>
        <v>165</v>
      </c>
      <c r="AZ27" s="39">
        <f>_xlfn.FLOOR.MATH((($AI27-1)*Characters!$N$9+Characters!$G$9+$AK$2)*10/2) + _xlfn.FLOOR.MATH((($AI27-1)*Characters!$P$9+Characters!$I$9+$AK$3)*5/2)</f>
        <v>68</v>
      </c>
      <c r="BA27" s="39">
        <f>_xlfn.FLOOR.MATH((($AI27-1)*Characters!$N$10+Characters!$G$10+$AK$2)*10/2) + _xlfn.FLOOR.MATH((($AI27-1)*Characters!$P$10+Characters!$I$10+$AK$3)*5/2)</f>
        <v>181</v>
      </c>
      <c r="BB27" s="39">
        <f>_xlfn.FLOOR.MATH((($AI27-1)*Characters!$N$11+Characters!$G$11+$AK$2)*10/2) + _xlfn.FLOOR.MATH((($AI27-1)*Characters!$P$11+Characters!$I$11+$AK$3)*5/2)</f>
        <v>75</v>
      </c>
      <c r="BC27" s="33">
        <f>_xlfn.FLOOR.MATH((($AI27-1)*Characters!$N$12+Characters!$G$12+$AK$2)*10/2) + _xlfn.FLOOR.MATH((($AI27-1)*Characters!$P$12+Characters!$I$12+$AK$3)*5/2)</f>
        <v>175</v>
      </c>
    </row>
    <row r="28" spans="1:55" ht="18" customHeight="1">
      <c r="A28" s="38">
        <v>21</v>
      </c>
      <c r="B28" s="20">
        <f t="shared" si="3"/>
        <v>10</v>
      </c>
      <c r="C28" s="20">
        <f t="shared" si="4"/>
        <v>8</v>
      </c>
      <c r="D28" s="52">
        <f t="shared" si="5"/>
        <v>16</v>
      </c>
      <c r="E28" s="52">
        <f t="shared" si="9"/>
        <v>48</v>
      </c>
      <c r="F28" s="67">
        <f t="shared" si="0"/>
        <v>31</v>
      </c>
      <c r="G28" s="52">
        <f t="shared" si="1"/>
        <v>198.55</v>
      </c>
      <c r="H28" s="52">
        <f t="shared" si="6"/>
        <v>595.65000000000009</v>
      </c>
      <c r="I28" s="52">
        <f t="shared" si="7"/>
        <v>397.1</v>
      </c>
      <c r="J28" s="69">
        <f t="shared" si="10"/>
        <v>3457.5000000000005</v>
      </c>
      <c r="K28" s="70">
        <f t="shared" si="8"/>
        <v>21</v>
      </c>
      <c r="L28" s="132"/>
      <c r="M28" s="38">
        <f>Characters!$F$13+((Characters!$M$13 )*(Floor!$F28-1))</f>
        <v>1950</v>
      </c>
      <c r="N28" s="39">
        <f>Characters!$F$14+((Characters!$M$14 )*(Floor!F28-1))</f>
        <v>1950</v>
      </c>
      <c r="O28" s="39">
        <f>Characters!$F$15+((Characters!$M$15 )*(Floor!$F28-1))</f>
        <v>1950</v>
      </c>
      <c r="P28" s="39">
        <f>Characters!$F$16+((Characters!$M$16 )*(Floor!$F28-1))</f>
        <v>1950</v>
      </c>
      <c r="Q28" s="39">
        <f>Characters!$F$17+((Characters!$M$17)*(Floor!$F28-1))</f>
        <v>1950</v>
      </c>
      <c r="R28" s="39">
        <f>Characters!$F$18+((Characters!$M$18 )*(Floor!$F28-1))</f>
        <v>1950</v>
      </c>
      <c r="S28" s="33">
        <f>Characters!$F$19+((Characters!$M$19 )*(Floor!$F28-1))</f>
        <v>1950</v>
      </c>
      <c r="T28" s="38">
        <f>_xlfn.FLOOR.MATH((Characters!$J$13+Characters!$Q$13*(Floor!$F28-1))*5/2)</f>
        <v>245</v>
      </c>
      <c r="U28" s="39">
        <f>_xlfn.FLOOR.MATH((Characters!$J$14+Characters!$Q$14*(Floor!$F28-1))*5/2)</f>
        <v>245</v>
      </c>
      <c r="V28" s="39">
        <f>_xlfn.FLOOR.MATH((Characters!$J$15+Characters!$Q$15*(Floor!$F28-1))*5/2)</f>
        <v>245</v>
      </c>
      <c r="W28" s="39">
        <f>_xlfn.FLOOR.MATH((Characters!$J$16+Characters!$Q$16*(Floor!$F28-1))*5/2)</f>
        <v>245</v>
      </c>
      <c r="X28" s="39">
        <f>_xlfn.FLOOR.MATH((Characters!$J$17+Characters!$Q$17*(Floor!$F28-1))*5/2)</f>
        <v>245</v>
      </c>
      <c r="Y28" s="39">
        <f>_xlfn.FLOOR.MATH((Characters!$J$18+Characters!$Q$18*(Floor!$F28-1))*5/2)</f>
        <v>245</v>
      </c>
      <c r="Z28" s="39">
        <f>_xlfn.FLOOR.MATH((Characters!$J$19+Characters!$Q$19*(Floor!$F28-1))*5/2)</f>
        <v>245</v>
      </c>
      <c r="AA28" s="38">
        <f>_xlfn.FLOOR.MATH((Characters!$G$13+Characters!$N$13*(Floor!$F28-1))*10/2) + _xlfn.FLOOR.MATH((($AI28-1)*Characters!$P$13+Characters!$I$13)*5/2)</f>
        <v>235</v>
      </c>
      <c r="AB28" s="39">
        <f>_xlfn.FLOOR.MATH((Characters!$G$14+Characters!$N$14*(Floor!$F28-1))*10/2) + _xlfn.FLOOR.MATH((($AI28-1)*Characters!$P$14+Characters!$I$14)*5/2)</f>
        <v>235</v>
      </c>
      <c r="AC28" s="39">
        <f>_xlfn.FLOOR.MATH((Characters!$G$15+Characters!$N$15*(Floor!$F28-1))*10/2) + _xlfn.FLOOR.MATH((($AI28-1)*Characters!$P$15+Characters!$I$15)*5/2)</f>
        <v>235</v>
      </c>
      <c r="AD28" s="39">
        <f>_xlfn.FLOOR.MATH((Characters!$G$16+Characters!$N$16*(Floor!$F28-1))*10/2) + _xlfn.FLOOR.MATH((($AI28-1)*Characters!$P$16+Characters!$I$16)*5/2)</f>
        <v>235</v>
      </c>
      <c r="AE28" s="39">
        <f>_xlfn.FLOOR.MATH((Characters!$G$17+Characters!$N$17*(Floor!$F28-1))*10/2) + _xlfn.FLOOR.MATH((($AI28-1)*Characters!$P$17+Characters!$I$17)*5/2)</f>
        <v>235</v>
      </c>
      <c r="AF28" s="39">
        <f>_xlfn.FLOOR.MATH((Characters!$G$18+Characters!$N$18*(Floor!$F28-1))*10/2) + _xlfn.FLOOR.MATH((($AI28-1)*Characters!$P$18+Characters!$I$18)*5/2)</f>
        <v>235</v>
      </c>
      <c r="AG28" s="33">
        <f>_xlfn.FLOOR.MATH((Characters!$G$19+Characters!$N$19*(Floor!$F28-1))*10/2) + _xlfn.FLOOR.MATH((($AI28-1)*Characters!$P$19+Characters!$I$19)*5/2)</f>
        <v>235</v>
      </c>
      <c r="AH28" s="135"/>
      <c r="AI28" s="38">
        <v>21</v>
      </c>
      <c r="AJ28" s="71">
        <f t="shared" si="2"/>
        <v>444.20000000000005</v>
      </c>
      <c r="AK28" s="105">
        <f t="shared" si="11"/>
        <v>3386.6000000000004</v>
      </c>
      <c r="AL28" s="38">
        <f>_xlfn.FLOOR.MATH(($AI28-1)*Characters!$M$7+Characters!$F$7)+$AK$5</f>
        <v>5000</v>
      </c>
      <c r="AM28" s="39">
        <f>_xlfn.FLOOR.MATH(($AI28-1)*Characters!$M$8+Characters!$F$8)+$AK$5</f>
        <v>5450</v>
      </c>
      <c r="AN28" s="39">
        <f>_xlfn.FLOOR.MATH(($AI28-1)*Characters!$M$9+Characters!$F$9)+$AK$5</f>
        <v>4830</v>
      </c>
      <c r="AO28" s="39">
        <f>_xlfn.FLOOR.MATH(($AI28-1)*Characters!$M$10+Characters!$F$10)+$AK$5</f>
        <v>5060</v>
      </c>
      <c r="AP28" s="39">
        <f>_xlfn.FLOOR.MATH(($AI28-1)*Characters!$M$11+Characters!$F$11)+$AK$5</f>
        <v>4830</v>
      </c>
      <c r="AQ28" s="39">
        <f>_xlfn.FLOOR.MATH(($AI28-1)*Characters!$M$12+Characters!$F$12)+$AK$5</f>
        <v>5160</v>
      </c>
      <c r="AR28" s="38">
        <f>_xlfn.FLOOR.MATH((($AI28-1)*Characters!$Q$7+Characters!$J$7+$AK$4)*5/2)</f>
        <v>127</v>
      </c>
      <c r="AS28" s="39">
        <f>_xlfn.FLOOR.MATH((($AI28-1)*Characters!$Q$8+Characters!$J$8+$AK$4)*5/2)</f>
        <v>140</v>
      </c>
      <c r="AT28" s="39">
        <f>_xlfn.FLOOR.MATH((($AI28-1)*Characters!$Q$9+Characters!$J$9+$AK$4)*5/2)</f>
        <v>120</v>
      </c>
      <c r="AU28" s="39">
        <f>_xlfn.FLOOR.MATH((($AI28-1)*Characters!$Q$10+Characters!$J$10+$AK$4)*5/2)</f>
        <v>130</v>
      </c>
      <c r="AV28" s="39">
        <f>_xlfn.FLOOR.MATH((($AI28-1)*Characters!$Q$11+Characters!$J$11+$AK$4)*5/2)</f>
        <v>117</v>
      </c>
      <c r="AW28" s="39">
        <f>_xlfn.FLOOR.MATH((($AI28-1)*Characters!$Q$12+Characters!$J$12+$AK$4)*5/2)</f>
        <v>140</v>
      </c>
      <c r="AX28" s="38">
        <f>_xlfn.FLOOR.MATH((($AI28-1)*Characters!$N$7+Characters!$G$7+$AK$2)*10/2) + _xlfn.FLOOR.MATH((($AI28-1)*Characters!$P$7+Characters!$I$7+$AK$3)*5/2)</f>
        <v>112</v>
      </c>
      <c r="AY28" s="39">
        <f>_xlfn.FLOOR.MATH((($AI28-1)*Characters!$N$8+Characters!$G$8+$AK$2)*10/2) + _xlfn.FLOOR.MATH((($AI28-1)*Characters!$P$8+Characters!$I$8+$AK$3)*5/2)</f>
        <v>170</v>
      </c>
      <c r="AZ28" s="39">
        <f>_xlfn.FLOOR.MATH((($AI28-1)*Characters!$N$9+Characters!$G$9+$AK$2)*10/2) + _xlfn.FLOOR.MATH((($AI28-1)*Characters!$P$9+Characters!$I$9+$AK$3)*5/2)</f>
        <v>70</v>
      </c>
      <c r="BA28" s="39">
        <f>_xlfn.FLOOR.MATH((($AI28-1)*Characters!$N$10+Characters!$G$10+$AK$2)*10/2) + _xlfn.FLOOR.MATH((($AI28-1)*Characters!$P$10+Characters!$I$10+$AK$3)*5/2)</f>
        <v>187</v>
      </c>
      <c r="BB28" s="39">
        <f>_xlfn.FLOOR.MATH((($AI28-1)*Characters!$N$11+Characters!$G$11+$AK$2)*10/2) + _xlfn.FLOOR.MATH((($AI28-1)*Characters!$P$11+Characters!$I$11+$AK$3)*5/2)</f>
        <v>77</v>
      </c>
      <c r="BC28" s="33">
        <f>_xlfn.FLOOR.MATH((($AI28-1)*Characters!$N$12+Characters!$G$12+$AK$2)*10/2) + _xlfn.FLOOR.MATH((($AI28-1)*Characters!$P$12+Characters!$I$12+$AK$3)*5/2)</f>
        <v>180</v>
      </c>
    </row>
    <row r="29" spans="1:55" ht="18" customHeight="1">
      <c r="A29" s="38">
        <v>22</v>
      </c>
      <c r="B29" s="20">
        <f t="shared" si="3"/>
        <v>10</v>
      </c>
      <c r="C29" s="20">
        <f t="shared" si="4"/>
        <v>8</v>
      </c>
      <c r="D29" s="52">
        <f t="shared" si="5"/>
        <v>16</v>
      </c>
      <c r="E29" s="52">
        <f t="shared" si="9"/>
        <v>48</v>
      </c>
      <c r="F29" s="67">
        <f t="shared" si="0"/>
        <v>32</v>
      </c>
      <c r="G29" s="52">
        <f t="shared" si="1"/>
        <v>204.95000000000002</v>
      </c>
      <c r="H29" s="52">
        <f t="shared" si="6"/>
        <v>614.85</v>
      </c>
      <c r="I29" s="52">
        <f t="shared" si="7"/>
        <v>409.90000000000003</v>
      </c>
      <c r="J29" s="69">
        <f t="shared" si="10"/>
        <v>3867.4000000000005</v>
      </c>
      <c r="K29" s="70">
        <f t="shared" si="8"/>
        <v>21</v>
      </c>
      <c r="L29" s="132"/>
      <c r="M29" s="38">
        <f>Characters!$F$13+((Characters!$M$13 )*(Floor!$F29-1))</f>
        <v>2010</v>
      </c>
      <c r="N29" s="39">
        <f>Characters!$F$14+((Characters!$M$14 )*(Floor!F29-1))</f>
        <v>2010</v>
      </c>
      <c r="O29" s="39">
        <f>Characters!$F$15+((Characters!$M$15 )*(Floor!$F29-1))</f>
        <v>2010</v>
      </c>
      <c r="P29" s="39">
        <f>Characters!$F$16+((Characters!$M$16 )*(Floor!$F29-1))</f>
        <v>2010</v>
      </c>
      <c r="Q29" s="39">
        <f>Characters!$F$17+((Characters!$M$17)*(Floor!$F29-1))</f>
        <v>2010</v>
      </c>
      <c r="R29" s="39">
        <f>Characters!$F$18+((Characters!$M$18 )*(Floor!$F29-1))</f>
        <v>2010</v>
      </c>
      <c r="S29" s="33">
        <f>Characters!$F$19+((Characters!$M$19 )*(Floor!$F29-1))</f>
        <v>2010</v>
      </c>
      <c r="T29" s="38">
        <f>_xlfn.FLOOR.MATH((Characters!$J$13+Characters!$Q$13*(Floor!$F29-1))*5/2)</f>
        <v>252</v>
      </c>
      <c r="U29" s="39">
        <f>_xlfn.FLOOR.MATH((Characters!$J$14+Characters!$Q$14*(Floor!$F29-1))*5/2)</f>
        <v>252</v>
      </c>
      <c r="V29" s="39">
        <f>_xlfn.FLOOR.MATH((Characters!$J$15+Characters!$Q$15*(Floor!$F29-1))*5/2)</f>
        <v>252</v>
      </c>
      <c r="W29" s="39">
        <f>_xlfn.FLOOR.MATH((Characters!$J$16+Characters!$Q$16*(Floor!$F29-1))*5/2)</f>
        <v>252</v>
      </c>
      <c r="X29" s="39">
        <f>_xlfn.FLOOR.MATH((Characters!$J$17+Characters!$Q$17*(Floor!$F29-1))*5/2)</f>
        <v>252</v>
      </c>
      <c r="Y29" s="39">
        <f>_xlfn.FLOOR.MATH((Characters!$J$18+Characters!$Q$18*(Floor!$F29-1))*5/2)</f>
        <v>252</v>
      </c>
      <c r="Z29" s="39">
        <f>_xlfn.FLOOR.MATH((Characters!$J$19+Characters!$Q$19*(Floor!$F29-1))*5/2)</f>
        <v>252</v>
      </c>
      <c r="AA29" s="38">
        <f>_xlfn.FLOOR.MATH((Characters!$G$13+Characters!$N$13*(Floor!$F29-1))*10/2) + _xlfn.FLOOR.MATH((($AI29-1)*Characters!$P$13+Characters!$I$13)*5/2)</f>
        <v>242</v>
      </c>
      <c r="AB29" s="39">
        <f>_xlfn.FLOOR.MATH((Characters!$G$14+Characters!$N$14*(Floor!$F29-1))*10/2) + _xlfn.FLOOR.MATH((($AI29-1)*Characters!$P$14+Characters!$I$14)*5/2)</f>
        <v>242</v>
      </c>
      <c r="AC29" s="39">
        <f>_xlfn.FLOOR.MATH((Characters!$G$15+Characters!$N$15*(Floor!$F29-1))*10/2) + _xlfn.FLOOR.MATH((($AI29-1)*Characters!$P$15+Characters!$I$15)*5/2)</f>
        <v>242</v>
      </c>
      <c r="AD29" s="39">
        <f>_xlfn.FLOOR.MATH((Characters!$G$16+Characters!$N$16*(Floor!$F29-1))*10/2) + _xlfn.FLOOR.MATH((($AI29-1)*Characters!$P$16+Characters!$I$16)*5/2)</f>
        <v>242</v>
      </c>
      <c r="AE29" s="39">
        <f>_xlfn.FLOOR.MATH((Characters!$G$17+Characters!$N$17*(Floor!$F29-1))*10/2) + _xlfn.FLOOR.MATH((($AI29-1)*Characters!$P$17+Characters!$I$17)*5/2)</f>
        <v>242</v>
      </c>
      <c r="AF29" s="39">
        <f>_xlfn.FLOOR.MATH((Characters!$G$18+Characters!$N$18*(Floor!$F29-1))*10/2) + _xlfn.FLOOR.MATH((($AI29-1)*Characters!$P$18+Characters!$I$18)*5/2)</f>
        <v>242</v>
      </c>
      <c r="AG29" s="33">
        <f>_xlfn.FLOOR.MATH((Characters!$G$19+Characters!$N$19*(Floor!$F29-1))*10/2) + _xlfn.FLOOR.MATH((($AI29-1)*Characters!$P$19+Characters!$I$19)*5/2)</f>
        <v>242</v>
      </c>
      <c r="AH29" s="135"/>
      <c r="AI29" s="49">
        <v>22</v>
      </c>
      <c r="AJ29" s="111">
        <f t="shared" si="2"/>
        <v>487.16</v>
      </c>
      <c r="AK29" s="112">
        <f t="shared" si="11"/>
        <v>3873.76</v>
      </c>
      <c r="AL29" s="49">
        <f>_xlfn.FLOOR.MATH(($AI29-1)*Characters!$M$7+Characters!$F$7)+$AK$5</f>
        <v>5030</v>
      </c>
      <c r="AM29" s="113">
        <f>_xlfn.FLOOR.MATH(($AI29-1)*Characters!$M$8+Characters!$F$8)+$AK$5</f>
        <v>5500</v>
      </c>
      <c r="AN29" s="113">
        <f>_xlfn.FLOOR.MATH(($AI29-1)*Characters!$M$9+Characters!$F$9)+$AK$5</f>
        <v>4855</v>
      </c>
      <c r="AO29" s="113">
        <f>_xlfn.FLOOR.MATH(($AI29-1)*Characters!$M$10+Characters!$F$10)+$AK$5</f>
        <v>5095</v>
      </c>
      <c r="AP29" s="113">
        <f>_xlfn.FLOOR.MATH(($AI29-1)*Characters!$M$11+Characters!$F$11)+$AK$5</f>
        <v>4855</v>
      </c>
      <c r="AQ29" s="113">
        <f>_xlfn.FLOOR.MATH(($AI29-1)*Characters!$M$12+Characters!$F$12)+$AK$5</f>
        <v>5200</v>
      </c>
      <c r="AR29" s="49">
        <f>_xlfn.FLOOR.MATH((($AI29-1)*Characters!$Q$7+Characters!$J$7+$AK$4)*5/2)</f>
        <v>128</v>
      </c>
      <c r="AS29" s="113">
        <f>_xlfn.FLOOR.MATH((($AI29-1)*Characters!$Q$8+Characters!$J$8+$AK$4)*5/2)</f>
        <v>141</v>
      </c>
      <c r="AT29" s="113">
        <f>_xlfn.FLOOR.MATH((($AI29-1)*Characters!$Q$9+Characters!$J$9+$AK$4)*5/2)</f>
        <v>120</v>
      </c>
      <c r="AU29" s="113">
        <f>_xlfn.FLOOR.MATH((($AI29-1)*Characters!$Q$10+Characters!$J$10+$AK$4)*5/2)</f>
        <v>131</v>
      </c>
      <c r="AV29" s="113">
        <f>_xlfn.FLOOR.MATH((($AI29-1)*Characters!$Q$11+Characters!$J$11+$AK$4)*5/2)</f>
        <v>118</v>
      </c>
      <c r="AW29" s="113">
        <f>_xlfn.FLOOR.MATH((($AI29-1)*Characters!$Q$12+Characters!$J$12+$AK$4)*5/2)</f>
        <v>141</v>
      </c>
      <c r="AX29" s="38">
        <f>_xlfn.FLOOR.MATH((($AI29-1)*Characters!$N$7+Characters!$G$7+$AK$2)*10/2) + _xlfn.FLOOR.MATH((($AI29-1)*Characters!$P$7+Characters!$I$7+$AK$3)*5/2)</f>
        <v>115</v>
      </c>
      <c r="AY29" s="39">
        <f>_xlfn.FLOOR.MATH((($AI29-1)*Characters!$N$8+Characters!$G$8+$AK$2)*10/2) + _xlfn.FLOOR.MATH((($AI29-1)*Characters!$P$8+Characters!$I$8+$AK$3)*5/2)</f>
        <v>174</v>
      </c>
      <c r="AZ29" s="39">
        <f>_xlfn.FLOOR.MATH((($AI29-1)*Characters!$N$9+Characters!$G$9+$AK$2)*10/2) + _xlfn.FLOOR.MATH((($AI29-1)*Characters!$P$9+Characters!$I$9+$AK$3)*5/2)</f>
        <v>71</v>
      </c>
      <c r="BA29" s="39">
        <f>_xlfn.FLOOR.MATH((($AI29-1)*Characters!$N$10+Characters!$G$10+$AK$2)*10/2) + _xlfn.FLOOR.MATH((($AI29-1)*Characters!$P$10+Characters!$I$10+$AK$3)*5/2)</f>
        <v>192</v>
      </c>
      <c r="BB29" s="39">
        <f>_xlfn.FLOOR.MATH((($AI29-1)*Characters!$N$11+Characters!$G$11+$AK$2)*10/2) + _xlfn.FLOOR.MATH((($AI29-1)*Characters!$P$11+Characters!$I$11+$AK$3)*5/2)</f>
        <v>79</v>
      </c>
      <c r="BC29" s="33">
        <f>_xlfn.FLOOR.MATH((($AI29-1)*Characters!$N$12+Characters!$G$12+$AK$2)*10/2) + _xlfn.FLOOR.MATH((($AI29-1)*Characters!$P$12+Characters!$I$12+$AK$3)*5/2)</f>
        <v>185</v>
      </c>
    </row>
    <row r="30" spans="1:55" ht="18" customHeight="1">
      <c r="A30" s="38">
        <v>23</v>
      </c>
      <c r="B30" s="20">
        <f t="shared" si="3"/>
        <v>10</v>
      </c>
      <c r="C30" s="20">
        <f t="shared" si="4"/>
        <v>8</v>
      </c>
      <c r="D30" s="52">
        <f t="shared" si="5"/>
        <v>16</v>
      </c>
      <c r="E30" s="52">
        <f t="shared" si="9"/>
        <v>48</v>
      </c>
      <c r="F30" s="67">
        <f t="shared" si="0"/>
        <v>34</v>
      </c>
      <c r="G30" s="52">
        <f t="shared" si="1"/>
        <v>217.75000000000003</v>
      </c>
      <c r="H30" s="52">
        <f t="shared" si="6"/>
        <v>653.25000000000011</v>
      </c>
      <c r="I30" s="52">
        <f t="shared" si="7"/>
        <v>435.50000000000006</v>
      </c>
      <c r="J30" s="69">
        <f t="shared" si="10"/>
        <v>4302.9000000000005</v>
      </c>
      <c r="K30" s="70">
        <f t="shared" si="8"/>
        <v>22</v>
      </c>
      <c r="L30" s="132"/>
      <c r="M30" s="38">
        <f>Characters!$F$13+((Characters!$M$13 )*(Floor!$F30-1))</f>
        <v>2130</v>
      </c>
      <c r="N30" s="39">
        <f>Characters!$F$14+((Characters!$M$14 )*(Floor!F30-1))</f>
        <v>2130</v>
      </c>
      <c r="O30" s="39">
        <f>Characters!$F$15+((Characters!$M$15 )*(Floor!$F30-1))</f>
        <v>2130</v>
      </c>
      <c r="P30" s="39">
        <f>Characters!$F$16+((Characters!$M$16 )*(Floor!$F30-1))</f>
        <v>2130</v>
      </c>
      <c r="Q30" s="39">
        <f>Characters!$F$17+((Characters!$M$17)*(Floor!$F30-1))</f>
        <v>2130</v>
      </c>
      <c r="R30" s="39">
        <f>Characters!$F$18+((Characters!$M$18 )*(Floor!$F30-1))</f>
        <v>2130</v>
      </c>
      <c r="S30" s="33">
        <f>Characters!$F$19+((Characters!$M$19 )*(Floor!$F30-1))</f>
        <v>2130</v>
      </c>
      <c r="T30" s="38">
        <f>_xlfn.FLOOR.MATH((Characters!$J$13+Characters!$Q$13*(Floor!$F30-1))*5/2)</f>
        <v>267</v>
      </c>
      <c r="U30" s="39">
        <f>_xlfn.FLOOR.MATH((Characters!$J$14+Characters!$Q$14*(Floor!$F30-1))*5/2)</f>
        <v>267</v>
      </c>
      <c r="V30" s="39">
        <f>_xlfn.FLOOR.MATH((Characters!$J$15+Characters!$Q$15*(Floor!$F30-1))*5/2)</f>
        <v>267</v>
      </c>
      <c r="W30" s="39">
        <f>_xlfn.FLOOR.MATH((Characters!$J$16+Characters!$Q$16*(Floor!$F30-1))*5/2)</f>
        <v>267</v>
      </c>
      <c r="X30" s="39">
        <f>_xlfn.FLOOR.MATH((Characters!$J$17+Characters!$Q$17*(Floor!$F30-1))*5/2)</f>
        <v>267</v>
      </c>
      <c r="Y30" s="39">
        <f>_xlfn.FLOOR.MATH((Characters!$J$18+Characters!$Q$18*(Floor!$F30-1))*5/2)</f>
        <v>267</v>
      </c>
      <c r="Z30" s="39">
        <f>_xlfn.FLOOR.MATH((Characters!$J$19+Characters!$Q$19*(Floor!$F30-1))*5/2)</f>
        <v>267</v>
      </c>
      <c r="AA30" s="38">
        <f>_xlfn.FLOOR.MATH((Characters!$G$13+Characters!$N$13*(Floor!$F30-1))*10/2) + _xlfn.FLOOR.MATH((($AI30-1)*Characters!$P$13+Characters!$I$13)*5/2)</f>
        <v>255</v>
      </c>
      <c r="AB30" s="39">
        <f>_xlfn.FLOOR.MATH((Characters!$G$14+Characters!$N$14*(Floor!$F30-1))*10/2) + _xlfn.FLOOR.MATH((($AI30-1)*Characters!$P$14+Characters!$I$14)*5/2)</f>
        <v>255</v>
      </c>
      <c r="AC30" s="39">
        <f>_xlfn.FLOOR.MATH((Characters!$G$15+Characters!$N$15*(Floor!$F30-1))*10/2) + _xlfn.FLOOR.MATH((($AI30-1)*Characters!$P$15+Characters!$I$15)*5/2)</f>
        <v>255</v>
      </c>
      <c r="AD30" s="39">
        <f>_xlfn.FLOOR.MATH((Characters!$G$16+Characters!$N$16*(Floor!$F30-1))*10/2) + _xlfn.FLOOR.MATH((($AI30-1)*Characters!$P$16+Characters!$I$16)*5/2)</f>
        <v>255</v>
      </c>
      <c r="AE30" s="39">
        <f>_xlfn.FLOOR.MATH((Characters!$G$17+Characters!$N$17*(Floor!$F30-1))*10/2) + _xlfn.FLOOR.MATH((($AI30-1)*Characters!$P$17+Characters!$I$17)*5/2)</f>
        <v>255</v>
      </c>
      <c r="AF30" s="39">
        <f>_xlfn.FLOOR.MATH((Characters!$G$18+Characters!$N$18*(Floor!$F30-1))*10/2) + _xlfn.FLOOR.MATH((($AI30-1)*Characters!$P$18+Characters!$I$18)*5/2)</f>
        <v>255</v>
      </c>
      <c r="AG30" s="33">
        <f>_xlfn.FLOOR.MATH((Characters!$G$19+Characters!$N$19*(Floor!$F30-1))*10/2) + _xlfn.FLOOR.MATH((($AI30-1)*Characters!$P$19+Characters!$I$19)*5/2)</f>
        <v>255</v>
      </c>
      <c r="AH30" s="135"/>
      <c r="AI30" s="102">
        <v>23</v>
      </c>
      <c r="AJ30" s="106">
        <f t="shared" si="2"/>
        <v>532.12</v>
      </c>
      <c r="AK30" s="107">
        <f t="shared" si="11"/>
        <v>4405.88</v>
      </c>
      <c r="AL30" s="102">
        <f>_xlfn.FLOOR.MATH(($AI30-1)*Characters!$M$7+Characters!$F$7)+$AK$5</f>
        <v>5060</v>
      </c>
      <c r="AM30" s="103">
        <f>_xlfn.FLOOR.MATH(($AI30-1)*Characters!$M$8+Characters!$F$8)+$AK$5</f>
        <v>5550</v>
      </c>
      <c r="AN30" s="103">
        <f>_xlfn.FLOOR.MATH(($AI30-1)*Characters!$M$9+Characters!$F$9)+$AK$5</f>
        <v>4880</v>
      </c>
      <c r="AO30" s="103">
        <f>_xlfn.FLOOR.MATH(($AI30-1)*Characters!$M$10+Characters!$F$10)+$AK$5</f>
        <v>5130</v>
      </c>
      <c r="AP30" s="103">
        <f>_xlfn.FLOOR.MATH(($AI30-1)*Characters!$M$11+Characters!$F$11)+$AK$5</f>
        <v>4880</v>
      </c>
      <c r="AQ30" s="103">
        <f>_xlfn.FLOOR.MATH(($AI30-1)*Characters!$M$12+Characters!$F$12)+$AK$5</f>
        <v>5240</v>
      </c>
      <c r="AR30" s="102">
        <f>_xlfn.FLOOR.MATH((($AI30-1)*Characters!$Q$7+Characters!$J$7+$AK$4)*5/2)</f>
        <v>130</v>
      </c>
      <c r="AS30" s="103">
        <f>_xlfn.FLOOR.MATH((($AI30-1)*Characters!$Q$8+Characters!$J$8+$AK$4)*5/2)</f>
        <v>143</v>
      </c>
      <c r="AT30" s="103">
        <f>_xlfn.FLOOR.MATH((($AI30-1)*Characters!$Q$9+Characters!$J$9+$AK$4)*5/2)</f>
        <v>121</v>
      </c>
      <c r="AU30" s="103">
        <f>_xlfn.FLOOR.MATH((($AI30-1)*Characters!$Q$10+Characters!$J$10+$AK$4)*5/2)</f>
        <v>132</v>
      </c>
      <c r="AV30" s="103">
        <f>_xlfn.FLOOR.MATH((($AI30-1)*Characters!$Q$11+Characters!$J$11+$AK$4)*5/2)</f>
        <v>119</v>
      </c>
      <c r="AW30" s="103">
        <f>_xlfn.FLOOR.MATH((($AI30-1)*Characters!$Q$12+Characters!$J$12+$AK$4)*5/2)</f>
        <v>143</v>
      </c>
      <c r="AX30" s="102">
        <f>_xlfn.FLOOR.MATH((($AI30-1)*Characters!$N$7+Characters!$G$7+$AK$2)*10/2) + _xlfn.FLOOR.MATH((($AI30-1)*Characters!$P$7+Characters!$I$7+$AK$3)*5/2)</f>
        <v>120</v>
      </c>
      <c r="AY30" s="103">
        <f>_xlfn.FLOOR.MATH((($AI30-1)*Characters!$N$8+Characters!$G$8+$AK$2)*10/2) + _xlfn.FLOOR.MATH((($AI30-1)*Characters!$P$8+Characters!$I$8+$AK$3)*5/2)</f>
        <v>179</v>
      </c>
      <c r="AZ30" s="103">
        <f>_xlfn.FLOOR.MATH((($AI30-1)*Characters!$N$9+Characters!$G$9+$AK$2)*10/2) + _xlfn.FLOOR.MATH((($AI30-1)*Characters!$P$9+Characters!$I$9+$AK$3)*5/2)</f>
        <v>73</v>
      </c>
      <c r="BA30" s="103">
        <f>_xlfn.FLOOR.MATH((($AI30-1)*Characters!$N$10+Characters!$G$10+$AK$2)*10/2) + _xlfn.FLOOR.MATH((($AI30-1)*Characters!$P$10+Characters!$I$10+$AK$3)*5/2)</f>
        <v>198</v>
      </c>
      <c r="BB30" s="103">
        <f>_xlfn.FLOOR.MATH((($AI30-1)*Characters!$N$11+Characters!$G$11+$AK$2)*10/2) + _xlfn.FLOOR.MATH((($AI30-1)*Characters!$P$11+Characters!$I$11+$AK$3)*5/2)</f>
        <v>81</v>
      </c>
      <c r="BC30" s="104">
        <f>_xlfn.FLOOR.MATH((($AI30-1)*Characters!$N$12+Characters!$G$12+$AK$2)*10/2) + _xlfn.FLOOR.MATH((($AI30-1)*Characters!$P$12+Characters!$I$12+$AK$3)*5/2)</f>
        <v>190</v>
      </c>
    </row>
    <row r="31" spans="1:55" ht="18" customHeight="1">
      <c r="A31" s="38">
        <v>24</v>
      </c>
      <c r="B31" s="20">
        <f t="shared" si="3"/>
        <v>10</v>
      </c>
      <c r="C31" s="20">
        <f t="shared" si="4"/>
        <v>8</v>
      </c>
      <c r="D31" s="52">
        <f t="shared" si="5"/>
        <v>16</v>
      </c>
      <c r="E31" s="52">
        <f t="shared" si="9"/>
        <v>48</v>
      </c>
      <c r="F31" s="67">
        <f t="shared" si="0"/>
        <v>35</v>
      </c>
      <c r="G31" s="52">
        <f t="shared" si="1"/>
        <v>224.15</v>
      </c>
      <c r="H31" s="52">
        <f t="shared" si="6"/>
        <v>672.45</v>
      </c>
      <c r="I31" s="52">
        <f t="shared" si="7"/>
        <v>448.3</v>
      </c>
      <c r="J31" s="69">
        <f t="shared" si="10"/>
        <v>4751.2000000000007</v>
      </c>
      <c r="K31" s="70">
        <f t="shared" si="8"/>
        <v>23</v>
      </c>
      <c r="L31" s="132"/>
      <c r="M31" s="38">
        <f>Characters!$F$13+((Characters!$M$13 )*(Floor!$F31-1))</f>
        <v>2190</v>
      </c>
      <c r="N31" s="39">
        <f>Characters!$F$14+((Characters!$M$14 )*(Floor!F31-1))</f>
        <v>2190</v>
      </c>
      <c r="O31" s="39">
        <f>Characters!$F$15+((Characters!$M$15 )*(Floor!$F31-1))</f>
        <v>2190</v>
      </c>
      <c r="P31" s="39">
        <f>Characters!$F$16+((Characters!$M$16 )*(Floor!$F31-1))</f>
        <v>2190</v>
      </c>
      <c r="Q31" s="39">
        <f>Characters!$F$17+((Characters!$M$17)*(Floor!$F31-1))</f>
        <v>2190</v>
      </c>
      <c r="R31" s="39">
        <f>Characters!$F$18+((Characters!$M$18 )*(Floor!$F31-1))</f>
        <v>2190</v>
      </c>
      <c r="S31" s="33">
        <f>Characters!$F$19+((Characters!$M$19 )*(Floor!$F31-1))</f>
        <v>2190</v>
      </c>
      <c r="T31" s="38">
        <f>_xlfn.FLOOR.MATH((Characters!$J$13+Characters!$Q$13*(Floor!$F31-1))*5/2)</f>
        <v>275</v>
      </c>
      <c r="U31" s="39">
        <f>_xlfn.FLOOR.MATH((Characters!$J$14+Characters!$Q$14*(Floor!$F31-1))*5/2)</f>
        <v>275</v>
      </c>
      <c r="V31" s="39">
        <f>_xlfn.FLOOR.MATH((Characters!$J$15+Characters!$Q$15*(Floor!$F31-1))*5/2)</f>
        <v>275</v>
      </c>
      <c r="W31" s="39">
        <f>_xlfn.FLOOR.MATH((Characters!$J$16+Characters!$Q$16*(Floor!$F31-1))*5/2)</f>
        <v>275</v>
      </c>
      <c r="X31" s="39">
        <f>_xlfn.FLOOR.MATH((Characters!$J$17+Characters!$Q$17*(Floor!$F31-1))*5/2)</f>
        <v>275</v>
      </c>
      <c r="Y31" s="39">
        <f>_xlfn.FLOOR.MATH((Characters!$J$18+Characters!$Q$18*(Floor!$F31-1))*5/2)</f>
        <v>275</v>
      </c>
      <c r="Z31" s="39">
        <f>_xlfn.FLOOR.MATH((Characters!$J$19+Characters!$Q$19*(Floor!$F31-1))*5/2)</f>
        <v>275</v>
      </c>
      <c r="AA31" s="38">
        <f>_xlfn.FLOOR.MATH((Characters!$G$13+Characters!$N$13*(Floor!$F31-1))*10/2) + _xlfn.FLOOR.MATH((($AI31-1)*Characters!$P$13+Characters!$I$13)*5/2)</f>
        <v>262</v>
      </c>
      <c r="AB31" s="39">
        <f>_xlfn.FLOOR.MATH((Characters!$G$14+Characters!$N$14*(Floor!$F31-1))*10/2) + _xlfn.FLOOR.MATH((($AI31-1)*Characters!$P$14+Characters!$I$14)*5/2)</f>
        <v>262</v>
      </c>
      <c r="AC31" s="39">
        <f>_xlfn.FLOOR.MATH((Characters!$G$15+Characters!$N$15*(Floor!$F31-1))*10/2) + _xlfn.FLOOR.MATH((($AI31-1)*Characters!$P$15+Characters!$I$15)*5/2)</f>
        <v>262</v>
      </c>
      <c r="AD31" s="39">
        <f>_xlfn.FLOOR.MATH((Characters!$G$16+Characters!$N$16*(Floor!$F31-1))*10/2) + _xlfn.FLOOR.MATH((($AI31-1)*Characters!$P$16+Characters!$I$16)*5/2)</f>
        <v>262</v>
      </c>
      <c r="AE31" s="39">
        <f>_xlfn.FLOOR.MATH((Characters!$G$17+Characters!$N$17*(Floor!$F31-1))*10/2) + _xlfn.FLOOR.MATH((($AI31-1)*Characters!$P$17+Characters!$I$17)*5/2)</f>
        <v>262</v>
      </c>
      <c r="AF31" s="39">
        <f>_xlfn.FLOOR.MATH((Characters!$G$18+Characters!$N$18*(Floor!$F31-1))*10/2) + _xlfn.FLOOR.MATH((($AI31-1)*Characters!$P$18+Characters!$I$18)*5/2)</f>
        <v>262</v>
      </c>
      <c r="AG31" s="33">
        <f>_xlfn.FLOOR.MATH((Characters!$G$19+Characters!$N$19*(Floor!$F31-1))*10/2) + _xlfn.FLOOR.MATH((($AI31-1)*Characters!$P$19+Characters!$I$19)*5/2)</f>
        <v>262</v>
      </c>
      <c r="AH31" s="135"/>
      <c r="AI31" s="38">
        <v>24</v>
      </c>
      <c r="AJ31" s="71">
        <f t="shared" si="2"/>
        <v>579.07999999999993</v>
      </c>
      <c r="AK31" s="105">
        <f t="shared" si="11"/>
        <v>4984.96</v>
      </c>
      <c r="AL31" s="38">
        <f>_xlfn.FLOOR.MATH(($AI31-1)*Characters!$M$7+Characters!$F$7)+$AK$5</f>
        <v>5090</v>
      </c>
      <c r="AM31" s="39">
        <f>_xlfn.FLOOR.MATH(($AI31-1)*Characters!$M$8+Characters!$F$8)+$AK$5</f>
        <v>5600</v>
      </c>
      <c r="AN31" s="39">
        <f>_xlfn.FLOOR.MATH(($AI31-1)*Characters!$M$9+Characters!$F$9)+$AK$5</f>
        <v>4905</v>
      </c>
      <c r="AO31" s="39">
        <f>_xlfn.FLOOR.MATH(($AI31-1)*Characters!$M$10+Characters!$F$10)+$AK$5</f>
        <v>5165</v>
      </c>
      <c r="AP31" s="39">
        <f>_xlfn.FLOOR.MATH(($AI31-1)*Characters!$M$11+Characters!$F$11)+$AK$5</f>
        <v>4905</v>
      </c>
      <c r="AQ31" s="39">
        <f>_xlfn.FLOOR.MATH(($AI31-1)*Characters!$M$12+Characters!$F$12)+$AK$5</f>
        <v>5280</v>
      </c>
      <c r="AR31" s="38">
        <f>_xlfn.FLOOR.MATH((($AI31-1)*Characters!$Q$7+Characters!$J$7+$AK$4)*5/2)</f>
        <v>131</v>
      </c>
      <c r="AS31" s="39">
        <f>_xlfn.FLOOR.MATH((($AI31-1)*Characters!$Q$8+Characters!$J$8+$AK$4)*5/2)</f>
        <v>144</v>
      </c>
      <c r="AT31" s="39">
        <f>_xlfn.FLOOR.MATH((($AI31-1)*Characters!$Q$9+Characters!$J$9+$AK$4)*5/2)</f>
        <v>122</v>
      </c>
      <c r="AU31" s="39">
        <f>_xlfn.FLOOR.MATH((($AI31-1)*Characters!$Q$10+Characters!$J$10+$AK$4)*5/2)</f>
        <v>133</v>
      </c>
      <c r="AV31" s="39">
        <f>_xlfn.FLOOR.MATH((($AI31-1)*Characters!$Q$11+Characters!$J$11+$AK$4)*5/2)</f>
        <v>119</v>
      </c>
      <c r="AW31" s="39">
        <f>_xlfn.FLOOR.MATH((($AI31-1)*Characters!$Q$12+Characters!$J$12+$AK$4)*5/2)</f>
        <v>144</v>
      </c>
      <c r="AX31" s="38">
        <f>_xlfn.FLOOR.MATH((($AI31-1)*Characters!$N$7+Characters!$G$7+$AK$2)*10/2) + _xlfn.FLOOR.MATH((($AI31-1)*Characters!$P$7+Characters!$I$7+$AK$3)*5/2)</f>
        <v>123</v>
      </c>
      <c r="AY31" s="39">
        <f>_xlfn.FLOOR.MATH((($AI31-1)*Characters!$N$8+Characters!$G$8+$AK$2)*10/2) + _xlfn.FLOOR.MATH((($AI31-1)*Characters!$P$8+Characters!$I$8+$AK$3)*5/2)</f>
        <v>183</v>
      </c>
      <c r="AZ31" s="39">
        <f>_xlfn.FLOOR.MATH((($AI31-1)*Characters!$N$9+Characters!$G$9+$AK$2)*10/2) + _xlfn.FLOOR.MATH((($AI31-1)*Characters!$P$9+Characters!$I$9+$AK$3)*5/2)</f>
        <v>75</v>
      </c>
      <c r="BA31" s="39">
        <f>_xlfn.FLOOR.MATH((($AI31-1)*Characters!$N$10+Characters!$G$10+$AK$2)*10/2) + _xlfn.FLOOR.MATH((($AI31-1)*Characters!$P$10+Characters!$I$10+$AK$3)*5/2)</f>
        <v>203</v>
      </c>
      <c r="BB31" s="39">
        <f>_xlfn.FLOOR.MATH((($AI31-1)*Characters!$N$11+Characters!$G$11+$AK$2)*10/2) + _xlfn.FLOOR.MATH((($AI31-1)*Characters!$P$11+Characters!$I$11+$AK$3)*5/2)</f>
        <v>83</v>
      </c>
      <c r="BC31" s="33">
        <f>_xlfn.FLOOR.MATH((($AI31-1)*Characters!$N$12+Characters!$G$12+$AK$2)*10/2) + _xlfn.FLOOR.MATH((($AI31-1)*Characters!$P$12+Characters!$I$12+$AK$3)*5/2)</f>
        <v>195</v>
      </c>
    </row>
    <row r="32" spans="1:55" ht="18" customHeight="1">
      <c r="A32" s="38">
        <v>25</v>
      </c>
      <c r="B32" s="20">
        <f t="shared" si="3"/>
        <v>11</v>
      </c>
      <c r="C32" s="20">
        <f t="shared" si="4"/>
        <v>9</v>
      </c>
      <c r="D32" s="52">
        <f t="shared" si="5"/>
        <v>18</v>
      </c>
      <c r="E32" s="52">
        <f t="shared" si="9"/>
        <v>54</v>
      </c>
      <c r="F32" s="67">
        <f t="shared" si="0"/>
        <v>37</v>
      </c>
      <c r="G32" s="52">
        <f t="shared" si="1"/>
        <v>266.55</v>
      </c>
      <c r="H32" s="52">
        <f t="shared" si="6"/>
        <v>799.65</v>
      </c>
      <c r="I32" s="52">
        <f t="shared" si="7"/>
        <v>533.1</v>
      </c>
      <c r="J32" s="69">
        <f t="shared" si="10"/>
        <v>5284.3000000000011</v>
      </c>
      <c r="K32" s="70">
        <f t="shared" si="8"/>
        <v>24</v>
      </c>
      <c r="L32" s="132"/>
      <c r="M32" s="38">
        <f>Characters!$F$13+((Characters!$M$13 )*(Floor!$F32-1))</f>
        <v>2310</v>
      </c>
      <c r="N32" s="39">
        <f>Characters!$F$14+((Characters!$M$14 )*(Floor!F32-1))</f>
        <v>2310</v>
      </c>
      <c r="O32" s="39">
        <f>Characters!$F$15+((Characters!$M$15 )*(Floor!$F32-1))</f>
        <v>2310</v>
      </c>
      <c r="P32" s="39">
        <f>Characters!$F$16+((Characters!$M$16 )*(Floor!$F32-1))</f>
        <v>2310</v>
      </c>
      <c r="Q32" s="39">
        <f>Characters!$F$17+((Characters!$M$17)*(Floor!$F32-1))</f>
        <v>2310</v>
      </c>
      <c r="R32" s="39">
        <f>Characters!$F$18+((Characters!$M$18 )*(Floor!$F32-1))</f>
        <v>2310</v>
      </c>
      <c r="S32" s="33">
        <f>Characters!$F$19+((Characters!$M$19 )*(Floor!$F32-1))</f>
        <v>2310</v>
      </c>
      <c r="T32" s="38">
        <f>_xlfn.FLOOR.MATH((Characters!$J$13+Characters!$Q$13*(Floor!$F32-1))*5/2)</f>
        <v>290</v>
      </c>
      <c r="U32" s="39">
        <f>_xlfn.FLOOR.MATH((Characters!$J$14+Characters!$Q$14*(Floor!$F32-1))*5/2)</f>
        <v>290</v>
      </c>
      <c r="V32" s="39">
        <f>_xlfn.FLOOR.MATH((Characters!$J$15+Characters!$Q$15*(Floor!$F32-1))*5/2)</f>
        <v>290</v>
      </c>
      <c r="W32" s="39">
        <f>_xlfn.FLOOR.MATH((Characters!$J$16+Characters!$Q$16*(Floor!$F32-1))*5/2)</f>
        <v>290</v>
      </c>
      <c r="X32" s="39">
        <f>_xlfn.FLOOR.MATH((Characters!$J$17+Characters!$Q$17*(Floor!$F32-1))*5/2)</f>
        <v>290</v>
      </c>
      <c r="Y32" s="39">
        <f>_xlfn.FLOOR.MATH((Characters!$J$18+Characters!$Q$18*(Floor!$F32-1))*5/2)</f>
        <v>290</v>
      </c>
      <c r="Z32" s="39">
        <f>_xlfn.FLOOR.MATH((Characters!$J$19+Characters!$Q$19*(Floor!$F32-1))*5/2)</f>
        <v>290</v>
      </c>
      <c r="AA32" s="38">
        <f>_xlfn.FLOOR.MATH((Characters!$G$13+Characters!$N$13*(Floor!$F32-1))*10/2) + _xlfn.FLOOR.MATH((($AI32-1)*Characters!$P$13+Characters!$I$13)*5/2)</f>
        <v>276</v>
      </c>
      <c r="AB32" s="39">
        <f>_xlfn.FLOOR.MATH((Characters!$G$14+Characters!$N$14*(Floor!$F32-1))*10/2) + _xlfn.FLOOR.MATH((($AI32-1)*Characters!$P$14+Characters!$I$14)*5/2)</f>
        <v>276</v>
      </c>
      <c r="AC32" s="39">
        <f>_xlfn.FLOOR.MATH((Characters!$G$15+Characters!$N$15*(Floor!$F32-1))*10/2) + _xlfn.FLOOR.MATH((($AI32-1)*Characters!$P$15+Characters!$I$15)*5/2)</f>
        <v>276</v>
      </c>
      <c r="AD32" s="39">
        <f>_xlfn.FLOOR.MATH((Characters!$G$16+Characters!$N$16*(Floor!$F32-1))*10/2) + _xlfn.FLOOR.MATH((($AI32-1)*Characters!$P$16+Characters!$I$16)*5/2)</f>
        <v>276</v>
      </c>
      <c r="AE32" s="39">
        <f>_xlfn.FLOOR.MATH((Characters!$G$17+Characters!$N$17*(Floor!$F32-1))*10/2) + _xlfn.FLOOR.MATH((($AI32-1)*Characters!$P$17+Characters!$I$17)*5/2)</f>
        <v>276</v>
      </c>
      <c r="AF32" s="39">
        <f>_xlfn.FLOOR.MATH((Characters!$G$18+Characters!$N$18*(Floor!$F32-1))*10/2) + _xlfn.FLOOR.MATH((($AI32-1)*Characters!$P$18+Characters!$I$18)*5/2)</f>
        <v>276</v>
      </c>
      <c r="AG32" s="33">
        <f>_xlfn.FLOOR.MATH((Characters!$G$19+Characters!$N$19*(Floor!$F32-1))*10/2) + _xlfn.FLOOR.MATH((($AI32-1)*Characters!$P$19+Characters!$I$19)*5/2)</f>
        <v>276</v>
      </c>
      <c r="AH32" s="135"/>
      <c r="AI32" s="38">
        <v>25</v>
      </c>
      <c r="AJ32" s="71">
        <f t="shared" si="2"/>
        <v>628.04</v>
      </c>
      <c r="AK32" s="105">
        <f t="shared" si="11"/>
        <v>5613</v>
      </c>
      <c r="AL32" s="38">
        <f>_xlfn.FLOOR.MATH(($AI32-1)*Characters!$M$7+Characters!$F$7)+$AK$5</f>
        <v>5120</v>
      </c>
      <c r="AM32" s="39">
        <f>_xlfn.FLOOR.MATH(($AI32-1)*Characters!$M$8+Characters!$F$8)+$AK$5</f>
        <v>5650</v>
      </c>
      <c r="AN32" s="39">
        <f>_xlfn.FLOOR.MATH(($AI32-1)*Characters!$M$9+Characters!$F$9)+$AK$5</f>
        <v>4930</v>
      </c>
      <c r="AO32" s="39">
        <f>_xlfn.FLOOR.MATH(($AI32-1)*Characters!$M$10+Characters!$F$10)+$AK$5</f>
        <v>5200</v>
      </c>
      <c r="AP32" s="39">
        <f>_xlfn.FLOOR.MATH(($AI32-1)*Characters!$M$11+Characters!$F$11)+$AK$5</f>
        <v>4930</v>
      </c>
      <c r="AQ32" s="39">
        <f>_xlfn.FLOOR.MATH(($AI32-1)*Characters!$M$12+Characters!$F$12)+$AK$5</f>
        <v>5320</v>
      </c>
      <c r="AR32" s="38">
        <f>_xlfn.FLOOR.MATH((($AI32-1)*Characters!$Q$7+Characters!$J$7+$AK$4)*5/2)</f>
        <v>132</v>
      </c>
      <c r="AS32" s="39">
        <f>_xlfn.FLOOR.MATH((($AI32-1)*Characters!$Q$8+Characters!$J$8+$AK$4)*5/2)</f>
        <v>146</v>
      </c>
      <c r="AT32" s="39">
        <f>_xlfn.FLOOR.MATH((($AI32-1)*Characters!$Q$9+Characters!$J$9+$AK$4)*5/2)</f>
        <v>123</v>
      </c>
      <c r="AU32" s="39">
        <f>_xlfn.FLOOR.MATH((($AI32-1)*Characters!$Q$10+Characters!$J$10+$AK$4)*5/2)</f>
        <v>135</v>
      </c>
      <c r="AV32" s="39">
        <f>_xlfn.FLOOR.MATH((($AI32-1)*Characters!$Q$11+Characters!$J$11+$AK$4)*5/2)</f>
        <v>120</v>
      </c>
      <c r="AW32" s="39">
        <f>_xlfn.FLOOR.MATH((($AI32-1)*Characters!$Q$12+Characters!$J$12+$AK$4)*5/2)</f>
        <v>146</v>
      </c>
      <c r="AX32" s="38">
        <f>_xlfn.FLOOR.MATH((($AI32-1)*Characters!$N$7+Characters!$G$7+$AK$2)*10/2) + _xlfn.FLOOR.MATH((($AI32-1)*Characters!$P$7+Characters!$I$7+$AK$3)*5/2)</f>
        <v>127</v>
      </c>
      <c r="AY32" s="39">
        <f>_xlfn.FLOOR.MATH((($AI32-1)*Characters!$N$8+Characters!$G$8+$AK$2)*10/2) + _xlfn.FLOOR.MATH((($AI32-1)*Characters!$P$8+Characters!$I$8+$AK$3)*5/2)</f>
        <v>188</v>
      </c>
      <c r="AZ32" s="39">
        <f>_xlfn.FLOOR.MATH((($AI32-1)*Characters!$N$9+Characters!$G$9+$AK$2)*10/2) + _xlfn.FLOOR.MATH((($AI32-1)*Characters!$P$9+Characters!$I$9+$AK$3)*5/2)</f>
        <v>77</v>
      </c>
      <c r="BA32" s="39">
        <f>_xlfn.FLOOR.MATH((($AI32-1)*Characters!$N$10+Characters!$G$10+$AK$2)*10/2) + _xlfn.FLOOR.MATH((($AI32-1)*Characters!$P$10+Characters!$I$10+$AK$3)*5/2)</f>
        <v>209</v>
      </c>
      <c r="BB32" s="39">
        <f>_xlfn.FLOOR.MATH((($AI32-1)*Characters!$N$11+Characters!$G$11+$AK$2)*10/2) + _xlfn.FLOOR.MATH((($AI32-1)*Characters!$P$11+Characters!$I$11+$AK$3)*5/2)</f>
        <v>85</v>
      </c>
      <c r="BC32" s="33">
        <f>_xlfn.FLOOR.MATH((($AI32-1)*Characters!$N$12+Characters!$G$12+$AK$2)*10/2) + _xlfn.FLOOR.MATH((($AI32-1)*Characters!$P$12+Characters!$I$12+$AK$3)*5/2)</f>
        <v>200</v>
      </c>
    </row>
    <row r="33" spans="1:55" ht="18" customHeight="1">
      <c r="A33" s="38">
        <v>26</v>
      </c>
      <c r="B33" s="20">
        <f t="shared" si="3"/>
        <v>11</v>
      </c>
      <c r="C33" s="20">
        <f t="shared" si="4"/>
        <v>9</v>
      </c>
      <c r="D33" s="52">
        <f t="shared" si="5"/>
        <v>18</v>
      </c>
      <c r="E33" s="52">
        <f t="shared" si="9"/>
        <v>54</v>
      </c>
      <c r="F33" s="67">
        <f t="shared" si="0"/>
        <v>38</v>
      </c>
      <c r="G33" s="52">
        <f t="shared" si="1"/>
        <v>273.75</v>
      </c>
      <c r="H33" s="52">
        <f t="shared" si="6"/>
        <v>821.25</v>
      </c>
      <c r="I33" s="52">
        <f t="shared" si="7"/>
        <v>547.5</v>
      </c>
      <c r="J33" s="69">
        <f t="shared" si="10"/>
        <v>5831.8000000000011</v>
      </c>
      <c r="K33" s="70">
        <f t="shared" si="8"/>
        <v>25</v>
      </c>
      <c r="L33" s="132"/>
      <c r="M33" s="38">
        <f>Characters!$F$13+((Characters!$M$13 )*(Floor!$F33-1))</f>
        <v>2370</v>
      </c>
      <c r="N33" s="39">
        <f>Characters!$F$14+((Characters!$M$14 )*(Floor!F33-1))</f>
        <v>2370</v>
      </c>
      <c r="O33" s="39">
        <f>Characters!$F$15+((Characters!$M$15 )*(Floor!$F33-1))</f>
        <v>2370</v>
      </c>
      <c r="P33" s="39">
        <f>Characters!$F$16+((Characters!$M$16 )*(Floor!$F33-1))</f>
        <v>2370</v>
      </c>
      <c r="Q33" s="39">
        <f>Characters!$F$17+((Characters!$M$17)*(Floor!$F33-1))</f>
        <v>2370</v>
      </c>
      <c r="R33" s="39">
        <f>Characters!$F$18+((Characters!$M$18 )*(Floor!$F33-1))</f>
        <v>2370</v>
      </c>
      <c r="S33" s="33">
        <f>Characters!$F$19+((Characters!$M$19 )*(Floor!$F33-1))</f>
        <v>2370</v>
      </c>
      <c r="T33" s="38">
        <f>_xlfn.FLOOR.MATH((Characters!$J$13+Characters!$Q$13*(Floor!$F33-1))*5/2)</f>
        <v>297</v>
      </c>
      <c r="U33" s="39">
        <f>_xlfn.FLOOR.MATH((Characters!$J$14+Characters!$Q$14*(Floor!$F33-1))*5/2)</f>
        <v>297</v>
      </c>
      <c r="V33" s="39">
        <f>_xlfn.FLOOR.MATH((Characters!$J$15+Characters!$Q$15*(Floor!$F33-1))*5/2)</f>
        <v>297</v>
      </c>
      <c r="W33" s="39">
        <f>_xlfn.FLOOR.MATH((Characters!$J$16+Characters!$Q$16*(Floor!$F33-1))*5/2)</f>
        <v>297</v>
      </c>
      <c r="X33" s="39">
        <f>_xlfn.FLOOR.MATH((Characters!$J$17+Characters!$Q$17*(Floor!$F33-1))*5/2)</f>
        <v>297</v>
      </c>
      <c r="Y33" s="39">
        <f>_xlfn.FLOOR.MATH((Characters!$J$18+Characters!$Q$18*(Floor!$F33-1))*5/2)</f>
        <v>297</v>
      </c>
      <c r="Z33" s="39">
        <f>_xlfn.FLOOR.MATH((Characters!$J$19+Characters!$Q$19*(Floor!$F33-1))*5/2)</f>
        <v>297</v>
      </c>
      <c r="AA33" s="38">
        <f>_xlfn.FLOOR.MATH((Characters!$G$13+Characters!$N$13*(Floor!$F33-1))*10/2) + _xlfn.FLOOR.MATH((($AI33-1)*Characters!$P$13+Characters!$I$13)*5/2)</f>
        <v>283</v>
      </c>
      <c r="AB33" s="39">
        <f>_xlfn.FLOOR.MATH((Characters!$G$14+Characters!$N$14*(Floor!$F33-1))*10/2) + _xlfn.FLOOR.MATH((($AI33-1)*Characters!$P$14+Characters!$I$14)*5/2)</f>
        <v>283</v>
      </c>
      <c r="AC33" s="39">
        <f>_xlfn.FLOOR.MATH((Characters!$G$15+Characters!$N$15*(Floor!$F33-1))*10/2) + _xlfn.FLOOR.MATH((($AI33-1)*Characters!$P$15+Characters!$I$15)*5/2)</f>
        <v>283</v>
      </c>
      <c r="AD33" s="39">
        <f>_xlfn.FLOOR.MATH((Characters!$G$16+Characters!$N$16*(Floor!$F33-1))*10/2) + _xlfn.FLOOR.MATH((($AI33-1)*Characters!$P$16+Characters!$I$16)*5/2)</f>
        <v>283</v>
      </c>
      <c r="AE33" s="39">
        <f>_xlfn.FLOOR.MATH((Characters!$G$17+Characters!$N$17*(Floor!$F33-1))*10/2) + _xlfn.FLOOR.MATH((($AI33-1)*Characters!$P$17+Characters!$I$17)*5/2)</f>
        <v>283</v>
      </c>
      <c r="AF33" s="39">
        <f>_xlfn.FLOOR.MATH((Characters!$G$18+Characters!$N$18*(Floor!$F33-1))*10/2) + _xlfn.FLOOR.MATH((($AI33-1)*Characters!$P$18+Characters!$I$18)*5/2)</f>
        <v>283</v>
      </c>
      <c r="AG33" s="33">
        <f>_xlfn.FLOOR.MATH((Characters!$G$19+Characters!$N$19*(Floor!$F33-1))*10/2) + _xlfn.FLOOR.MATH((($AI33-1)*Characters!$P$19+Characters!$I$19)*5/2)</f>
        <v>283</v>
      </c>
      <c r="AH33" s="135"/>
      <c r="AI33" s="38">
        <v>26</v>
      </c>
      <c r="AJ33" s="71">
        <f t="shared" si="2"/>
        <v>679</v>
      </c>
      <c r="AK33" s="105">
        <f t="shared" si="11"/>
        <v>6292</v>
      </c>
      <c r="AL33" s="38">
        <f>_xlfn.FLOOR.MATH(($AI33-1)*Characters!$M$7+Characters!$F$7)+$AK$5</f>
        <v>5150</v>
      </c>
      <c r="AM33" s="39">
        <f>_xlfn.FLOOR.MATH(($AI33-1)*Characters!$M$8+Characters!$F$8)+$AK$5</f>
        <v>5700</v>
      </c>
      <c r="AN33" s="39">
        <f>_xlfn.FLOOR.MATH(($AI33-1)*Characters!$M$9+Characters!$F$9)+$AK$5</f>
        <v>4955</v>
      </c>
      <c r="AO33" s="39">
        <f>_xlfn.FLOOR.MATH(($AI33-1)*Characters!$M$10+Characters!$F$10)+$AK$5</f>
        <v>5235</v>
      </c>
      <c r="AP33" s="39">
        <f>_xlfn.FLOOR.MATH(($AI33-1)*Characters!$M$11+Characters!$F$11)+$AK$5</f>
        <v>4955</v>
      </c>
      <c r="AQ33" s="39">
        <f>_xlfn.FLOOR.MATH(($AI33-1)*Characters!$M$12+Characters!$F$12)+$AK$5</f>
        <v>5360</v>
      </c>
      <c r="AR33" s="38">
        <f>_xlfn.FLOOR.MATH((($AI33-1)*Characters!$Q$7+Characters!$J$7+$AK$4)*5/2)</f>
        <v>133</v>
      </c>
      <c r="AS33" s="39">
        <f>_xlfn.FLOOR.MATH((($AI33-1)*Characters!$Q$8+Characters!$J$8+$AK$4)*5/2)</f>
        <v>147</v>
      </c>
      <c r="AT33" s="39">
        <f>_xlfn.FLOOR.MATH((($AI33-1)*Characters!$Q$9+Characters!$J$9+$AK$4)*5/2)</f>
        <v>123</v>
      </c>
      <c r="AU33" s="39">
        <f>_xlfn.FLOOR.MATH((($AI33-1)*Characters!$Q$10+Characters!$J$10+$AK$4)*5/2)</f>
        <v>136</v>
      </c>
      <c r="AV33" s="39">
        <f>_xlfn.FLOOR.MATH((($AI33-1)*Characters!$Q$11+Characters!$J$11+$AK$4)*5/2)</f>
        <v>121</v>
      </c>
      <c r="AW33" s="39">
        <f>_xlfn.FLOOR.MATH((($AI33-1)*Characters!$Q$12+Characters!$J$12+$AK$4)*5/2)</f>
        <v>147</v>
      </c>
      <c r="AX33" s="38">
        <f>_xlfn.FLOOR.MATH((($AI33-1)*Characters!$N$7+Characters!$G$7+$AK$2)*10/2) + _xlfn.FLOOR.MATH((($AI33-1)*Characters!$P$7+Characters!$I$7+$AK$3)*5/2)</f>
        <v>130</v>
      </c>
      <c r="AY33" s="39">
        <f>_xlfn.FLOOR.MATH((($AI33-1)*Characters!$N$8+Characters!$G$8+$AK$2)*10/2) + _xlfn.FLOOR.MATH((($AI33-1)*Characters!$P$8+Characters!$I$8+$AK$3)*5/2)</f>
        <v>192</v>
      </c>
      <c r="AZ33" s="39">
        <f>_xlfn.FLOOR.MATH((($AI33-1)*Characters!$N$9+Characters!$G$9+$AK$2)*10/2) + _xlfn.FLOOR.MATH((($AI33-1)*Characters!$P$9+Characters!$I$9+$AK$3)*5/2)</f>
        <v>78</v>
      </c>
      <c r="BA33" s="39">
        <f>_xlfn.FLOOR.MATH((($AI33-1)*Characters!$N$10+Characters!$G$10+$AK$2)*10/2) + _xlfn.FLOOR.MATH((($AI33-1)*Characters!$P$10+Characters!$I$10+$AK$3)*5/2)</f>
        <v>214</v>
      </c>
      <c r="BB33" s="39">
        <f>_xlfn.FLOOR.MATH((($AI33-1)*Characters!$N$11+Characters!$G$11+$AK$2)*10/2) + _xlfn.FLOOR.MATH((($AI33-1)*Characters!$P$11+Characters!$I$11+$AK$3)*5/2)</f>
        <v>87</v>
      </c>
      <c r="BC33" s="33">
        <f>_xlfn.FLOOR.MATH((($AI33-1)*Characters!$N$12+Characters!$G$12+$AK$2)*10/2) + _xlfn.FLOOR.MATH((($AI33-1)*Characters!$P$12+Characters!$I$12+$AK$3)*5/2)</f>
        <v>205</v>
      </c>
    </row>
    <row r="34" spans="1:55" ht="18" customHeight="1">
      <c r="A34" s="38">
        <v>27</v>
      </c>
      <c r="B34" s="20">
        <f t="shared" si="3"/>
        <v>11</v>
      </c>
      <c r="C34" s="20">
        <f t="shared" si="4"/>
        <v>9</v>
      </c>
      <c r="D34" s="52">
        <f t="shared" si="5"/>
        <v>18</v>
      </c>
      <c r="E34" s="52">
        <f t="shared" si="9"/>
        <v>54</v>
      </c>
      <c r="F34" s="67">
        <f t="shared" si="0"/>
        <v>40</v>
      </c>
      <c r="G34" s="52">
        <f t="shared" si="1"/>
        <v>288.14999999999998</v>
      </c>
      <c r="H34" s="52">
        <f t="shared" si="6"/>
        <v>864.44999999999993</v>
      </c>
      <c r="I34" s="52">
        <f t="shared" si="7"/>
        <v>576.29999999999995</v>
      </c>
      <c r="J34" s="69">
        <f t="shared" si="10"/>
        <v>6408.1000000000013</v>
      </c>
      <c r="K34" s="70">
        <f t="shared" si="8"/>
        <v>26</v>
      </c>
      <c r="L34" s="132"/>
      <c r="M34" s="38">
        <f>Characters!$F$13+((Characters!$M$13 )*(Floor!$F34-1))</f>
        <v>2490</v>
      </c>
      <c r="N34" s="39">
        <f>Characters!$F$14+((Characters!$M$14 )*(Floor!F34-1))</f>
        <v>2490</v>
      </c>
      <c r="O34" s="39">
        <f>Characters!$F$15+((Characters!$M$15 )*(Floor!$F34-1))</f>
        <v>2490</v>
      </c>
      <c r="P34" s="39">
        <f>Characters!$F$16+((Characters!$M$16 )*(Floor!$F34-1))</f>
        <v>2490</v>
      </c>
      <c r="Q34" s="39">
        <f>Characters!$F$17+((Characters!$M$17)*(Floor!$F34-1))</f>
        <v>2490</v>
      </c>
      <c r="R34" s="39">
        <f>Characters!$F$18+((Characters!$M$18 )*(Floor!$F34-1))</f>
        <v>2490</v>
      </c>
      <c r="S34" s="33">
        <f>Characters!$F$19+((Characters!$M$19 )*(Floor!$F34-1))</f>
        <v>2490</v>
      </c>
      <c r="T34" s="38">
        <f>_xlfn.FLOOR.MATH((Characters!$J$13+Characters!$Q$13*(Floor!$F34-1))*5/2)</f>
        <v>312</v>
      </c>
      <c r="U34" s="39">
        <f>_xlfn.FLOOR.MATH((Characters!$J$14+Characters!$Q$14*(Floor!$F34-1))*5/2)</f>
        <v>312</v>
      </c>
      <c r="V34" s="39">
        <f>_xlfn.FLOOR.MATH((Characters!$J$15+Characters!$Q$15*(Floor!$F34-1))*5/2)</f>
        <v>312</v>
      </c>
      <c r="W34" s="39">
        <f>_xlfn.FLOOR.MATH((Characters!$J$16+Characters!$Q$16*(Floor!$F34-1))*5/2)</f>
        <v>312</v>
      </c>
      <c r="X34" s="39">
        <f>_xlfn.FLOOR.MATH((Characters!$J$17+Characters!$Q$17*(Floor!$F34-1))*5/2)</f>
        <v>312</v>
      </c>
      <c r="Y34" s="39">
        <f>_xlfn.FLOOR.MATH((Characters!$J$18+Characters!$Q$18*(Floor!$F34-1))*5/2)</f>
        <v>312</v>
      </c>
      <c r="Z34" s="39">
        <f>_xlfn.FLOOR.MATH((Characters!$J$19+Characters!$Q$19*(Floor!$F34-1))*5/2)</f>
        <v>312</v>
      </c>
      <c r="AA34" s="38">
        <f>_xlfn.FLOOR.MATH((Characters!$G$13+Characters!$N$13*(Floor!$F34-1))*10/2) + _xlfn.FLOOR.MATH((($AI34-1)*Characters!$P$13+Characters!$I$13)*5/2)</f>
        <v>296</v>
      </c>
      <c r="AB34" s="39">
        <f>_xlfn.FLOOR.MATH((Characters!$G$14+Characters!$N$14*(Floor!$F34-1))*10/2) + _xlfn.FLOOR.MATH((($AI34-1)*Characters!$P$14+Characters!$I$14)*5/2)</f>
        <v>296</v>
      </c>
      <c r="AC34" s="39">
        <f>_xlfn.FLOOR.MATH((Characters!$G$15+Characters!$N$15*(Floor!$F34-1))*10/2) + _xlfn.FLOOR.MATH((($AI34-1)*Characters!$P$15+Characters!$I$15)*5/2)</f>
        <v>296</v>
      </c>
      <c r="AD34" s="39">
        <f>_xlfn.FLOOR.MATH((Characters!$G$16+Characters!$N$16*(Floor!$F34-1))*10/2) + _xlfn.FLOOR.MATH((($AI34-1)*Characters!$P$16+Characters!$I$16)*5/2)</f>
        <v>296</v>
      </c>
      <c r="AE34" s="39">
        <f>_xlfn.FLOOR.MATH((Characters!$G$17+Characters!$N$17*(Floor!$F34-1))*10/2) + _xlfn.FLOOR.MATH((($AI34-1)*Characters!$P$17+Characters!$I$17)*5/2)</f>
        <v>296</v>
      </c>
      <c r="AF34" s="39">
        <f>_xlfn.FLOOR.MATH((Characters!$G$18+Characters!$N$18*(Floor!$F34-1))*10/2) + _xlfn.FLOOR.MATH((($AI34-1)*Characters!$P$18+Characters!$I$18)*5/2)</f>
        <v>296</v>
      </c>
      <c r="AG34" s="33">
        <f>_xlfn.FLOOR.MATH((Characters!$G$19+Characters!$N$19*(Floor!$F34-1))*10/2) + _xlfn.FLOOR.MATH((($AI34-1)*Characters!$P$19+Characters!$I$19)*5/2)</f>
        <v>296</v>
      </c>
      <c r="AH34" s="135"/>
      <c r="AI34" s="38">
        <v>27</v>
      </c>
      <c r="AJ34" s="71">
        <f t="shared" si="2"/>
        <v>731.95999999999992</v>
      </c>
      <c r="AK34" s="105">
        <f t="shared" si="11"/>
        <v>7023.96</v>
      </c>
      <c r="AL34" s="38">
        <f>_xlfn.FLOOR.MATH(($AI34-1)*Characters!$M$7+Characters!$F$7)+$AK$5</f>
        <v>5180</v>
      </c>
      <c r="AM34" s="39">
        <f>_xlfn.FLOOR.MATH(($AI34-1)*Characters!$M$8+Characters!$F$8)+$AK$5</f>
        <v>5750</v>
      </c>
      <c r="AN34" s="39">
        <f>_xlfn.FLOOR.MATH(($AI34-1)*Characters!$M$9+Characters!$F$9)+$AK$5</f>
        <v>4980</v>
      </c>
      <c r="AO34" s="39">
        <f>_xlfn.FLOOR.MATH(($AI34-1)*Characters!$M$10+Characters!$F$10)+$AK$5</f>
        <v>5270</v>
      </c>
      <c r="AP34" s="39">
        <f>_xlfn.FLOOR.MATH(($AI34-1)*Characters!$M$11+Characters!$F$11)+$AK$5</f>
        <v>4980</v>
      </c>
      <c r="AQ34" s="39">
        <f>_xlfn.FLOOR.MATH(($AI34-1)*Characters!$M$12+Characters!$F$12)+$AK$5</f>
        <v>5400</v>
      </c>
      <c r="AR34" s="38">
        <f>_xlfn.FLOOR.MATH((($AI34-1)*Characters!$Q$7+Characters!$J$7+$AK$4)*5/2)</f>
        <v>135</v>
      </c>
      <c r="AS34" s="39">
        <f>_xlfn.FLOOR.MATH((($AI34-1)*Characters!$Q$8+Characters!$J$8+$AK$4)*5/2)</f>
        <v>149</v>
      </c>
      <c r="AT34" s="39">
        <f>_xlfn.FLOOR.MATH((($AI34-1)*Characters!$Q$9+Characters!$J$9+$AK$4)*5/2)</f>
        <v>124</v>
      </c>
      <c r="AU34" s="39">
        <f>_xlfn.FLOOR.MATH((($AI34-1)*Characters!$Q$10+Characters!$J$10+$AK$4)*5/2)</f>
        <v>137</v>
      </c>
      <c r="AV34" s="39">
        <f>_xlfn.FLOOR.MATH((($AI34-1)*Characters!$Q$11+Characters!$J$11+$AK$4)*5/2)</f>
        <v>122</v>
      </c>
      <c r="AW34" s="39">
        <f>_xlfn.FLOOR.MATH((($AI34-1)*Characters!$Q$12+Characters!$J$12+$AK$4)*5/2)</f>
        <v>149</v>
      </c>
      <c r="AX34" s="38">
        <f>_xlfn.FLOOR.MATH((($AI34-1)*Characters!$N$7+Characters!$G$7+$AK$2)*10/2) + _xlfn.FLOOR.MATH((($AI34-1)*Characters!$P$7+Characters!$I$7+$AK$3)*5/2)</f>
        <v>135</v>
      </c>
      <c r="AY34" s="39">
        <f>_xlfn.FLOOR.MATH((($AI34-1)*Characters!$N$8+Characters!$G$8+$AK$2)*10/2) + _xlfn.FLOOR.MATH((($AI34-1)*Characters!$P$8+Characters!$I$8+$AK$3)*5/2)</f>
        <v>197</v>
      </c>
      <c r="AZ34" s="39">
        <f>_xlfn.FLOOR.MATH((($AI34-1)*Characters!$N$9+Characters!$G$9+$AK$2)*10/2) + _xlfn.FLOOR.MATH((($AI34-1)*Characters!$P$9+Characters!$I$9+$AK$3)*5/2)</f>
        <v>80</v>
      </c>
      <c r="BA34" s="39">
        <f>_xlfn.FLOOR.MATH((($AI34-1)*Characters!$N$10+Characters!$G$10+$AK$2)*10/2) + _xlfn.FLOOR.MATH((($AI34-1)*Characters!$P$10+Characters!$I$10+$AK$3)*5/2)</f>
        <v>220</v>
      </c>
      <c r="BB34" s="39">
        <f>_xlfn.FLOOR.MATH((($AI34-1)*Characters!$N$11+Characters!$G$11+$AK$2)*10/2) + _xlfn.FLOOR.MATH((($AI34-1)*Characters!$P$11+Characters!$I$11+$AK$3)*5/2)</f>
        <v>89</v>
      </c>
      <c r="BC34" s="33">
        <f>_xlfn.FLOOR.MATH((($AI34-1)*Characters!$N$12+Characters!$G$12+$AK$2)*10/2) + _xlfn.FLOOR.MATH((($AI34-1)*Characters!$P$12+Characters!$I$12+$AK$3)*5/2)</f>
        <v>210</v>
      </c>
    </row>
    <row r="35" spans="1:55" ht="18" customHeight="1">
      <c r="A35" s="38">
        <v>28</v>
      </c>
      <c r="B35" s="20">
        <f t="shared" si="3"/>
        <v>11</v>
      </c>
      <c r="C35" s="20">
        <f t="shared" si="4"/>
        <v>9</v>
      </c>
      <c r="D35" s="52">
        <f t="shared" si="5"/>
        <v>18</v>
      </c>
      <c r="E35" s="52">
        <f t="shared" si="9"/>
        <v>54</v>
      </c>
      <c r="F35" s="67">
        <f t="shared" si="0"/>
        <v>41</v>
      </c>
      <c r="G35" s="52">
        <f t="shared" si="1"/>
        <v>295.35000000000002</v>
      </c>
      <c r="H35" s="52">
        <f t="shared" si="6"/>
        <v>886.05000000000007</v>
      </c>
      <c r="I35" s="52">
        <f t="shared" si="7"/>
        <v>590.70000000000005</v>
      </c>
      <c r="J35" s="69">
        <f t="shared" si="10"/>
        <v>6998.8000000000011</v>
      </c>
      <c r="K35" s="70">
        <f t="shared" si="8"/>
        <v>26</v>
      </c>
      <c r="L35" s="132"/>
      <c r="M35" s="38">
        <f>Characters!$F$13+((Characters!$M$13 )*(Floor!$F35-1))</f>
        <v>2550</v>
      </c>
      <c r="N35" s="39">
        <f>Characters!$F$14+((Characters!$M$14 )*(Floor!F35-1))</f>
        <v>2550</v>
      </c>
      <c r="O35" s="39">
        <f>Characters!$F$15+((Characters!$M$15 )*(Floor!$F35-1))</f>
        <v>2550</v>
      </c>
      <c r="P35" s="39">
        <f>Characters!$F$16+((Characters!$M$16 )*(Floor!$F35-1))</f>
        <v>2550</v>
      </c>
      <c r="Q35" s="39">
        <f>Characters!$F$17+((Characters!$M$17)*(Floor!$F35-1))</f>
        <v>2550</v>
      </c>
      <c r="R35" s="39">
        <f>Characters!$F$18+((Characters!$M$18 )*(Floor!$F35-1))</f>
        <v>2550</v>
      </c>
      <c r="S35" s="33">
        <f>Characters!$F$19+((Characters!$M$19 )*(Floor!$F35-1))</f>
        <v>2550</v>
      </c>
      <c r="T35" s="38">
        <f>_xlfn.FLOOR.MATH((Characters!$J$13+Characters!$Q$13*(Floor!$F35-1))*5/2)</f>
        <v>320</v>
      </c>
      <c r="U35" s="39">
        <f>_xlfn.FLOOR.MATH((Characters!$J$14+Characters!$Q$14*(Floor!$F35-1))*5/2)</f>
        <v>320</v>
      </c>
      <c r="V35" s="39">
        <f>_xlfn.FLOOR.MATH((Characters!$J$15+Characters!$Q$15*(Floor!$F35-1))*5/2)</f>
        <v>320</v>
      </c>
      <c r="W35" s="39">
        <f>_xlfn.FLOOR.MATH((Characters!$J$16+Characters!$Q$16*(Floor!$F35-1))*5/2)</f>
        <v>320</v>
      </c>
      <c r="X35" s="39">
        <f>_xlfn.FLOOR.MATH((Characters!$J$17+Characters!$Q$17*(Floor!$F35-1))*5/2)</f>
        <v>320</v>
      </c>
      <c r="Y35" s="39">
        <f>_xlfn.FLOOR.MATH((Characters!$J$18+Characters!$Q$18*(Floor!$F35-1))*5/2)</f>
        <v>320</v>
      </c>
      <c r="Z35" s="39">
        <f>_xlfn.FLOOR.MATH((Characters!$J$19+Characters!$Q$19*(Floor!$F35-1))*5/2)</f>
        <v>320</v>
      </c>
      <c r="AA35" s="38">
        <f>_xlfn.FLOOR.MATH((Characters!$G$13+Characters!$N$13*(Floor!$F35-1))*10/2) + _xlfn.FLOOR.MATH((($AI35-1)*Characters!$P$13+Characters!$I$13)*5/2)</f>
        <v>303</v>
      </c>
      <c r="AB35" s="39">
        <f>_xlfn.FLOOR.MATH((Characters!$G$14+Characters!$N$14*(Floor!$F35-1))*10/2) + _xlfn.FLOOR.MATH((($AI35-1)*Characters!$P$14+Characters!$I$14)*5/2)</f>
        <v>303</v>
      </c>
      <c r="AC35" s="39">
        <f>_xlfn.FLOOR.MATH((Characters!$G$15+Characters!$N$15*(Floor!$F35-1))*10/2) + _xlfn.FLOOR.MATH((($AI35-1)*Characters!$P$15+Characters!$I$15)*5/2)</f>
        <v>303</v>
      </c>
      <c r="AD35" s="39">
        <f>_xlfn.FLOOR.MATH((Characters!$G$16+Characters!$N$16*(Floor!$F35-1))*10/2) + _xlfn.FLOOR.MATH((($AI35-1)*Characters!$P$16+Characters!$I$16)*5/2)</f>
        <v>303</v>
      </c>
      <c r="AE35" s="39">
        <f>_xlfn.FLOOR.MATH((Characters!$G$17+Characters!$N$17*(Floor!$F35-1))*10/2) + _xlfn.FLOOR.MATH((($AI35-1)*Characters!$P$17+Characters!$I$17)*5/2)</f>
        <v>303</v>
      </c>
      <c r="AF35" s="39">
        <f>_xlfn.FLOOR.MATH((Characters!$G$18+Characters!$N$18*(Floor!$F35-1))*10/2) + _xlfn.FLOOR.MATH((($AI35-1)*Characters!$P$18+Characters!$I$18)*5/2)</f>
        <v>303</v>
      </c>
      <c r="AG35" s="33">
        <f>_xlfn.FLOOR.MATH((Characters!$G$19+Characters!$N$19*(Floor!$F35-1))*10/2) + _xlfn.FLOOR.MATH((($AI35-1)*Characters!$P$19+Characters!$I$19)*5/2)</f>
        <v>303</v>
      </c>
      <c r="AH35" s="135"/>
      <c r="AI35" s="38">
        <v>28</v>
      </c>
      <c r="AJ35" s="71">
        <f t="shared" si="2"/>
        <v>786.92</v>
      </c>
      <c r="AK35" s="105">
        <f t="shared" si="11"/>
        <v>7810.88</v>
      </c>
      <c r="AL35" s="38">
        <f>_xlfn.FLOOR.MATH(($AI35-1)*Characters!$M$7+Characters!$F$7)+$AK$5</f>
        <v>5210</v>
      </c>
      <c r="AM35" s="39">
        <f>_xlfn.FLOOR.MATH(($AI35-1)*Characters!$M$8+Characters!$F$8)+$AK$5</f>
        <v>5800</v>
      </c>
      <c r="AN35" s="39">
        <f>_xlfn.FLOOR.MATH(($AI35-1)*Characters!$M$9+Characters!$F$9)+$AK$5</f>
        <v>5005</v>
      </c>
      <c r="AO35" s="39">
        <f>_xlfn.FLOOR.MATH(($AI35-1)*Characters!$M$10+Characters!$F$10)+$AK$5</f>
        <v>5305</v>
      </c>
      <c r="AP35" s="39">
        <f>_xlfn.FLOOR.MATH(($AI35-1)*Characters!$M$11+Characters!$F$11)+$AK$5</f>
        <v>5005</v>
      </c>
      <c r="AQ35" s="39">
        <f>_xlfn.FLOOR.MATH(($AI35-1)*Characters!$M$12+Characters!$F$12)+$AK$5</f>
        <v>5440</v>
      </c>
      <c r="AR35" s="38">
        <f>_xlfn.FLOOR.MATH((($AI35-1)*Characters!$Q$7+Characters!$J$7+$AK$4)*5/2)</f>
        <v>136</v>
      </c>
      <c r="AS35" s="39">
        <f>_xlfn.FLOOR.MATH((($AI35-1)*Characters!$Q$8+Characters!$J$8+$AK$4)*5/2)</f>
        <v>150</v>
      </c>
      <c r="AT35" s="39">
        <f>_xlfn.FLOOR.MATH((($AI35-1)*Characters!$Q$9+Characters!$J$9+$AK$4)*5/2)</f>
        <v>125</v>
      </c>
      <c r="AU35" s="39">
        <f>_xlfn.FLOOR.MATH((($AI35-1)*Characters!$Q$10+Characters!$J$10+$AK$4)*5/2)</f>
        <v>138</v>
      </c>
      <c r="AV35" s="39">
        <f>_xlfn.FLOOR.MATH((($AI35-1)*Characters!$Q$11+Characters!$J$11+$AK$4)*5/2)</f>
        <v>122</v>
      </c>
      <c r="AW35" s="39">
        <f>_xlfn.FLOOR.MATH((($AI35-1)*Characters!$Q$12+Characters!$J$12+$AK$4)*5/2)</f>
        <v>150</v>
      </c>
      <c r="AX35" s="38">
        <f>_xlfn.FLOOR.MATH((($AI35-1)*Characters!$N$7+Characters!$G$7+$AK$2)*10/2) + _xlfn.FLOOR.MATH((($AI35-1)*Characters!$P$7+Characters!$I$7+$AK$3)*5/2)</f>
        <v>138</v>
      </c>
      <c r="AY35" s="39">
        <f>_xlfn.FLOOR.MATH((($AI35-1)*Characters!$N$8+Characters!$G$8+$AK$2)*10/2) + _xlfn.FLOOR.MATH((($AI35-1)*Characters!$P$8+Characters!$I$8+$AK$3)*5/2)</f>
        <v>201</v>
      </c>
      <c r="AZ35" s="39">
        <f>_xlfn.FLOOR.MATH((($AI35-1)*Characters!$N$9+Characters!$G$9+$AK$2)*10/2) + _xlfn.FLOOR.MATH((($AI35-1)*Characters!$P$9+Characters!$I$9+$AK$3)*5/2)</f>
        <v>82</v>
      </c>
      <c r="BA35" s="39">
        <f>_xlfn.FLOOR.MATH((($AI35-1)*Characters!$N$10+Characters!$G$10+$AK$2)*10/2) + _xlfn.FLOOR.MATH((($AI35-1)*Characters!$P$10+Characters!$I$10+$AK$3)*5/2)</f>
        <v>225</v>
      </c>
      <c r="BB35" s="39">
        <f>_xlfn.FLOOR.MATH((($AI35-1)*Characters!$N$11+Characters!$G$11+$AK$2)*10/2) + _xlfn.FLOOR.MATH((($AI35-1)*Characters!$P$11+Characters!$I$11+$AK$3)*5/2)</f>
        <v>91</v>
      </c>
      <c r="BC35" s="33">
        <f>_xlfn.FLOOR.MATH((($AI35-1)*Characters!$N$12+Characters!$G$12+$AK$2)*10/2) + _xlfn.FLOOR.MATH((($AI35-1)*Characters!$P$12+Characters!$I$12+$AK$3)*5/2)</f>
        <v>215</v>
      </c>
    </row>
    <row r="36" spans="1:55" ht="18" customHeight="1">
      <c r="A36" s="38">
        <v>29</v>
      </c>
      <c r="B36" s="20">
        <f t="shared" si="3"/>
        <v>11</v>
      </c>
      <c r="C36" s="20">
        <f t="shared" si="4"/>
        <v>9</v>
      </c>
      <c r="D36" s="52">
        <f t="shared" si="5"/>
        <v>18</v>
      </c>
      <c r="E36" s="52">
        <f t="shared" si="9"/>
        <v>54</v>
      </c>
      <c r="F36" s="67">
        <f t="shared" si="0"/>
        <v>43</v>
      </c>
      <c r="G36" s="52">
        <f t="shared" si="1"/>
        <v>309.74999999999994</v>
      </c>
      <c r="H36" s="52">
        <f t="shared" si="6"/>
        <v>929.24999999999977</v>
      </c>
      <c r="I36" s="52">
        <f t="shared" si="7"/>
        <v>619.49999999999989</v>
      </c>
      <c r="J36" s="69">
        <f t="shared" si="10"/>
        <v>7618.3000000000011</v>
      </c>
      <c r="K36" s="70">
        <f t="shared" si="8"/>
        <v>27</v>
      </c>
      <c r="L36" s="132"/>
      <c r="M36" s="38">
        <f>Characters!$F$13+((Characters!$M$13 )*(Floor!$F36-1))</f>
        <v>2670</v>
      </c>
      <c r="N36" s="39">
        <f>Characters!$F$14+((Characters!$M$14 )*(Floor!F36-1))</f>
        <v>2670</v>
      </c>
      <c r="O36" s="39">
        <f>Characters!$F$15+((Characters!$M$15 )*(Floor!$F36-1))</f>
        <v>2670</v>
      </c>
      <c r="P36" s="39">
        <f>Characters!$F$16+((Characters!$M$16 )*(Floor!$F36-1))</f>
        <v>2670</v>
      </c>
      <c r="Q36" s="39">
        <f>Characters!$F$17+((Characters!$M$17)*(Floor!$F36-1))</f>
        <v>2670</v>
      </c>
      <c r="R36" s="39">
        <f>Characters!$F$18+((Characters!$M$18 )*(Floor!$F36-1))</f>
        <v>2670</v>
      </c>
      <c r="S36" s="33">
        <f>Characters!$F$19+((Characters!$M$19 )*(Floor!$F36-1))</f>
        <v>2670</v>
      </c>
      <c r="T36" s="38">
        <f>_xlfn.FLOOR.MATH((Characters!$J$13+Characters!$Q$13*(Floor!$F36-1))*5/2)</f>
        <v>335</v>
      </c>
      <c r="U36" s="39">
        <f>_xlfn.FLOOR.MATH((Characters!$J$14+Characters!$Q$14*(Floor!$F36-1))*5/2)</f>
        <v>335</v>
      </c>
      <c r="V36" s="39">
        <f>_xlfn.FLOOR.MATH((Characters!$J$15+Characters!$Q$15*(Floor!$F36-1))*5/2)</f>
        <v>335</v>
      </c>
      <c r="W36" s="39">
        <f>_xlfn.FLOOR.MATH((Characters!$J$16+Characters!$Q$16*(Floor!$F36-1))*5/2)</f>
        <v>335</v>
      </c>
      <c r="X36" s="39">
        <f>_xlfn.FLOOR.MATH((Characters!$J$17+Characters!$Q$17*(Floor!$F36-1))*5/2)</f>
        <v>335</v>
      </c>
      <c r="Y36" s="39">
        <f>_xlfn.FLOOR.MATH((Characters!$J$18+Characters!$Q$18*(Floor!$F36-1))*5/2)</f>
        <v>335</v>
      </c>
      <c r="Z36" s="39">
        <f>_xlfn.FLOOR.MATH((Characters!$J$19+Characters!$Q$19*(Floor!$F36-1))*5/2)</f>
        <v>335</v>
      </c>
      <c r="AA36" s="38">
        <f>_xlfn.FLOOR.MATH((Characters!$G$13+Characters!$N$13*(Floor!$F36-1))*10/2) + _xlfn.FLOOR.MATH((($AI36-1)*Characters!$P$13+Characters!$I$13)*5/2)</f>
        <v>317</v>
      </c>
      <c r="AB36" s="39">
        <f>_xlfn.FLOOR.MATH((Characters!$G$14+Characters!$N$14*(Floor!$F36-1))*10/2) + _xlfn.FLOOR.MATH((($AI36-1)*Characters!$P$14+Characters!$I$14)*5/2)</f>
        <v>317</v>
      </c>
      <c r="AC36" s="39">
        <f>_xlfn.FLOOR.MATH((Characters!$G$15+Characters!$N$15*(Floor!$F36-1))*10/2) + _xlfn.FLOOR.MATH((($AI36-1)*Characters!$P$15+Characters!$I$15)*5/2)</f>
        <v>317</v>
      </c>
      <c r="AD36" s="39">
        <f>_xlfn.FLOOR.MATH((Characters!$G$16+Characters!$N$16*(Floor!$F36-1))*10/2) + _xlfn.FLOOR.MATH((($AI36-1)*Characters!$P$16+Characters!$I$16)*5/2)</f>
        <v>317</v>
      </c>
      <c r="AE36" s="39">
        <f>_xlfn.FLOOR.MATH((Characters!$G$17+Characters!$N$17*(Floor!$F36-1))*10/2) + _xlfn.FLOOR.MATH((($AI36-1)*Characters!$P$17+Characters!$I$17)*5/2)</f>
        <v>317</v>
      </c>
      <c r="AF36" s="39">
        <f>_xlfn.FLOOR.MATH((Characters!$G$18+Characters!$N$18*(Floor!$F36-1))*10/2) + _xlfn.FLOOR.MATH((($AI36-1)*Characters!$P$18+Characters!$I$18)*5/2)</f>
        <v>317</v>
      </c>
      <c r="AG36" s="33">
        <f>_xlfn.FLOOR.MATH((Characters!$G$19+Characters!$N$19*(Floor!$F36-1))*10/2) + _xlfn.FLOOR.MATH((($AI36-1)*Characters!$P$19+Characters!$I$19)*5/2)</f>
        <v>317</v>
      </c>
      <c r="AH36" s="135"/>
      <c r="AI36" s="38">
        <v>29</v>
      </c>
      <c r="AJ36" s="71">
        <f t="shared" si="2"/>
        <v>843.88</v>
      </c>
      <c r="AK36" s="105">
        <f t="shared" si="11"/>
        <v>8654.76</v>
      </c>
      <c r="AL36" s="38">
        <f>_xlfn.FLOOR.MATH(($AI36-1)*Characters!$M$7+Characters!$F$7)+$AK$5</f>
        <v>5240</v>
      </c>
      <c r="AM36" s="39">
        <f>_xlfn.FLOOR.MATH(($AI36-1)*Characters!$M$8+Characters!$F$8)+$AK$5</f>
        <v>5850</v>
      </c>
      <c r="AN36" s="39">
        <f>_xlfn.FLOOR.MATH(($AI36-1)*Characters!$M$9+Characters!$F$9)+$AK$5</f>
        <v>5030</v>
      </c>
      <c r="AO36" s="39">
        <f>_xlfn.FLOOR.MATH(($AI36-1)*Characters!$M$10+Characters!$F$10)+$AK$5</f>
        <v>5340</v>
      </c>
      <c r="AP36" s="39">
        <f>_xlfn.FLOOR.MATH(($AI36-1)*Characters!$M$11+Characters!$F$11)+$AK$5</f>
        <v>5030</v>
      </c>
      <c r="AQ36" s="39">
        <f>_xlfn.FLOOR.MATH(($AI36-1)*Characters!$M$12+Characters!$F$12)+$AK$5</f>
        <v>5480</v>
      </c>
      <c r="AR36" s="38">
        <f>_xlfn.FLOOR.MATH((($AI36-1)*Characters!$Q$7+Characters!$J$7+$AK$4)*5/2)</f>
        <v>137</v>
      </c>
      <c r="AS36" s="39">
        <f>_xlfn.FLOOR.MATH((($AI36-1)*Characters!$Q$8+Characters!$J$8+$AK$4)*5/2)</f>
        <v>152</v>
      </c>
      <c r="AT36" s="39">
        <f>_xlfn.FLOOR.MATH((($AI36-1)*Characters!$Q$9+Characters!$J$9+$AK$4)*5/2)</f>
        <v>126</v>
      </c>
      <c r="AU36" s="39">
        <f>_xlfn.FLOOR.MATH((($AI36-1)*Characters!$Q$10+Characters!$J$10+$AK$4)*5/2)</f>
        <v>140</v>
      </c>
      <c r="AV36" s="39">
        <f>_xlfn.FLOOR.MATH((($AI36-1)*Characters!$Q$11+Characters!$J$11+$AK$4)*5/2)</f>
        <v>123</v>
      </c>
      <c r="AW36" s="39">
        <f>_xlfn.FLOOR.MATH((($AI36-1)*Characters!$Q$12+Characters!$J$12+$AK$4)*5/2)</f>
        <v>152</v>
      </c>
      <c r="AX36" s="38">
        <f>_xlfn.FLOOR.MATH((($AI36-1)*Characters!$N$7+Characters!$G$7+$AK$2)*10/2) + _xlfn.FLOOR.MATH((($AI36-1)*Characters!$P$7+Characters!$I$7+$AK$3)*5/2)</f>
        <v>142</v>
      </c>
      <c r="AY36" s="39">
        <f>_xlfn.FLOOR.MATH((($AI36-1)*Characters!$N$8+Characters!$G$8+$AK$2)*10/2) + _xlfn.FLOOR.MATH((($AI36-1)*Characters!$P$8+Characters!$I$8+$AK$3)*5/2)</f>
        <v>206</v>
      </c>
      <c r="AZ36" s="39">
        <f>_xlfn.FLOOR.MATH((($AI36-1)*Characters!$N$9+Characters!$G$9+$AK$2)*10/2) + _xlfn.FLOOR.MATH((($AI36-1)*Characters!$P$9+Characters!$I$9+$AK$3)*5/2)</f>
        <v>84</v>
      </c>
      <c r="BA36" s="39">
        <f>_xlfn.FLOOR.MATH((($AI36-1)*Characters!$N$10+Characters!$G$10+$AK$2)*10/2) + _xlfn.FLOOR.MATH((($AI36-1)*Characters!$P$10+Characters!$I$10+$AK$3)*5/2)</f>
        <v>231</v>
      </c>
      <c r="BB36" s="39">
        <f>_xlfn.FLOOR.MATH((($AI36-1)*Characters!$N$11+Characters!$G$11+$AK$2)*10/2) + _xlfn.FLOOR.MATH((($AI36-1)*Characters!$P$11+Characters!$I$11+$AK$3)*5/2)</f>
        <v>93</v>
      </c>
      <c r="BC36" s="33">
        <f>_xlfn.FLOOR.MATH((($AI36-1)*Characters!$N$12+Characters!$G$12+$AK$2)*10/2) + _xlfn.FLOOR.MATH((($AI36-1)*Characters!$P$12+Characters!$I$12+$AK$3)*5/2)</f>
        <v>220</v>
      </c>
    </row>
    <row r="37" spans="1:55" ht="18" customHeight="1">
      <c r="A37" s="38">
        <v>30</v>
      </c>
      <c r="B37" s="20">
        <f t="shared" si="3"/>
        <v>12</v>
      </c>
      <c r="C37" s="20">
        <f t="shared" si="4"/>
        <v>10</v>
      </c>
      <c r="D37" s="52">
        <f t="shared" si="5"/>
        <v>20</v>
      </c>
      <c r="E37" s="52">
        <f t="shared" si="9"/>
        <v>60</v>
      </c>
      <c r="F37" s="67">
        <f t="shared" si="0"/>
        <v>44</v>
      </c>
      <c r="G37" s="52">
        <f t="shared" si="1"/>
        <v>352.15</v>
      </c>
      <c r="H37" s="52">
        <f t="shared" si="6"/>
        <v>1056.4499999999998</v>
      </c>
      <c r="I37" s="52">
        <f t="shared" si="7"/>
        <v>704.3</v>
      </c>
      <c r="J37" s="69">
        <f t="shared" si="10"/>
        <v>8322.6</v>
      </c>
      <c r="K37" s="70">
        <f t="shared" si="8"/>
        <v>28</v>
      </c>
      <c r="L37" s="132"/>
      <c r="M37" s="38">
        <f>Characters!$F$13+((Characters!$M$13 )*(Floor!$F37-1))</f>
        <v>2730</v>
      </c>
      <c r="N37" s="39">
        <f>Characters!$F$14+((Characters!$M$14 )*(Floor!F37-1))</f>
        <v>2730</v>
      </c>
      <c r="O37" s="39">
        <f>Characters!$F$15+((Characters!$M$15 )*(Floor!$F37-1))</f>
        <v>2730</v>
      </c>
      <c r="P37" s="39">
        <f>Characters!$F$16+((Characters!$M$16 )*(Floor!$F37-1))</f>
        <v>2730</v>
      </c>
      <c r="Q37" s="39">
        <f>Characters!$F$17+((Characters!$M$17)*(Floor!$F37-1))</f>
        <v>2730</v>
      </c>
      <c r="R37" s="39">
        <f>Characters!$F$18+((Characters!$M$18 )*(Floor!$F37-1))</f>
        <v>2730</v>
      </c>
      <c r="S37" s="33">
        <f>Characters!$F$19+((Characters!$M$19 )*(Floor!$F37-1))</f>
        <v>2730</v>
      </c>
      <c r="T37" s="38">
        <f>_xlfn.FLOOR.MATH((Characters!$J$13+Characters!$Q$13*(Floor!$F37-1))*5/2)</f>
        <v>342</v>
      </c>
      <c r="U37" s="39">
        <f>_xlfn.FLOOR.MATH((Characters!$J$14+Characters!$Q$14*(Floor!$F37-1))*5/2)</f>
        <v>342</v>
      </c>
      <c r="V37" s="39">
        <f>_xlfn.FLOOR.MATH((Characters!$J$15+Characters!$Q$15*(Floor!$F37-1))*5/2)</f>
        <v>342</v>
      </c>
      <c r="W37" s="39">
        <f>_xlfn.FLOOR.MATH((Characters!$J$16+Characters!$Q$16*(Floor!$F37-1))*5/2)</f>
        <v>342</v>
      </c>
      <c r="X37" s="39">
        <f>_xlfn.FLOOR.MATH((Characters!$J$17+Characters!$Q$17*(Floor!$F37-1))*5/2)</f>
        <v>342</v>
      </c>
      <c r="Y37" s="39">
        <f>_xlfn.FLOOR.MATH((Characters!$J$18+Characters!$Q$18*(Floor!$F37-1))*5/2)</f>
        <v>342</v>
      </c>
      <c r="Z37" s="39">
        <f>_xlfn.FLOOR.MATH((Characters!$J$19+Characters!$Q$19*(Floor!$F37-1))*5/2)</f>
        <v>342</v>
      </c>
      <c r="AA37" s="38">
        <f>_xlfn.FLOOR.MATH((Characters!$G$13+Characters!$N$13*(Floor!$F37-1))*10/2) + _xlfn.FLOOR.MATH((($AI37-1)*Characters!$P$13+Characters!$I$13)*5/2)</f>
        <v>324</v>
      </c>
      <c r="AB37" s="39">
        <f>_xlfn.FLOOR.MATH((Characters!$G$14+Characters!$N$14*(Floor!$F37-1))*10/2) + _xlfn.FLOOR.MATH((($AI37-1)*Characters!$P$14+Characters!$I$14)*5/2)</f>
        <v>324</v>
      </c>
      <c r="AC37" s="39">
        <f>_xlfn.FLOOR.MATH((Characters!$G$15+Characters!$N$15*(Floor!$F37-1))*10/2) + _xlfn.FLOOR.MATH((($AI37-1)*Characters!$P$15+Characters!$I$15)*5/2)</f>
        <v>324</v>
      </c>
      <c r="AD37" s="39">
        <f>_xlfn.FLOOR.MATH((Characters!$G$16+Characters!$N$16*(Floor!$F37-1))*10/2) + _xlfn.FLOOR.MATH((($AI37-1)*Characters!$P$16+Characters!$I$16)*5/2)</f>
        <v>324</v>
      </c>
      <c r="AE37" s="39">
        <f>_xlfn.FLOOR.MATH((Characters!$G$17+Characters!$N$17*(Floor!$F37-1))*10/2) + _xlfn.FLOOR.MATH((($AI37-1)*Characters!$P$17+Characters!$I$17)*5/2)</f>
        <v>324</v>
      </c>
      <c r="AF37" s="39">
        <f>_xlfn.FLOOR.MATH((Characters!$G$18+Characters!$N$18*(Floor!$F37-1))*10/2) + _xlfn.FLOOR.MATH((($AI37-1)*Characters!$P$18+Characters!$I$18)*5/2)</f>
        <v>324</v>
      </c>
      <c r="AG37" s="33">
        <f>_xlfn.FLOOR.MATH((Characters!$G$19+Characters!$N$19*(Floor!$F37-1))*10/2) + _xlfn.FLOOR.MATH((($AI37-1)*Characters!$P$19+Characters!$I$19)*5/2)</f>
        <v>324</v>
      </c>
      <c r="AH37" s="135"/>
      <c r="AI37" s="73">
        <v>30</v>
      </c>
      <c r="AJ37" s="78">
        <f t="shared" si="2"/>
        <v>902.83999999999992</v>
      </c>
      <c r="AK37" s="90">
        <f t="shared" si="11"/>
        <v>9557.6</v>
      </c>
      <c r="AL37" s="92">
        <f>_xlfn.FLOOR.MATH(($AI37-1)*Characters!$M$7+Characters!$F$7)+$AK$5</f>
        <v>5270</v>
      </c>
      <c r="AM37" s="93">
        <f>_xlfn.FLOOR.MATH(($AI37-1)*Characters!$M$8+Characters!$F$8)+$AK$5</f>
        <v>5900</v>
      </c>
      <c r="AN37" s="93">
        <f>_xlfn.FLOOR.MATH(($AI37-1)*Characters!$M$9+Characters!$F$9)+$AK$5</f>
        <v>5055</v>
      </c>
      <c r="AO37" s="93">
        <f>_xlfn.FLOOR.MATH(($AI37-1)*Characters!$M$10+Characters!$F$10)+$AK$5</f>
        <v>5375</v>
      </c>
      <c r="AP37" s="93">
        <f>_xlfn.FLOOR.MATH(($AI37-1)*Characters!$M$11+Characters!$F$11)+$AK$5</f>
        <v>5055</v>
      </c>
      <c r="AQ37" s="93">
        <f>_xlfn.FLOOR.MATH(($AI37-1)*Characters!$M$12+Characters!$F$12)+$AK$5</f>
        <v>5520</v>
      </c>
      <c r="AR37" s="95">
        <f>_xlfn.FLOOR.MATH((($AI37-1)*Characters!$Q$7+Characters!$J$7+$AK$4)*5/2)</f>
        <v>138</v>
      </c>
      <c r="AS37" s="96">
        <f>_xlfn.FLOOR.MATH((($AI37-1)*Characters!$Q$8+Characters!$J$8+$AK$4)*5/2)</f>
        <v>153</v>
      </c>
      <c r="AT37" s="96">
        <f>_xlfn.FLOOR.MATH((($AI37-1)*Characters!$Q$9+Characters!$J$9+$AK$4)*5/2)</f>
        <v>126</v>
      </c>
      <c r="AU37" s="96">
        <f>_xlfn.FLOOR.MATH((($AI37-1)*Characters!$Q$10+Characters!$J$10+$AK$4)*5/2)</f>
        <v>141</v>
      </c>
      <c r="AV37" s="96">
        <f>_xlfn.FLOOR.MATH((($AI37-1)*Characters!$Q$11+Characters!$J$11+$AK$4)*5/2)</f>
        <v>124</v>
      </c>
      <c r="AW37" s="96">
        <f>_xlfn.FLOOR.MATH((($AI37-1)*Characters!$Q$12+Characters!$J$12+$AK$4)*5/2)</f>
        <v>153</v>
      </c>
      <c r="AX37" s="117">
        <f>_xlfn.FLOOR.MATH((($AI37-1)*Characters!$N$7+Characters!$G$7+$AK$2)*10/2) + _xlfn.FLOOR.MATH((($AI37-1)*Characters!$P$7+Characters!$I$7+$AK$3)*5/2)</f>
        <v>145</v>
      </c>
      <c r="AY37" s="118">
        <f>_xlfn.FLOOR.MATH((($AI37-1)*Characters!$N$8+Characters!$G$8+$AK$2)*10/2) + _xlfn.FLOOR.MATH((($AI37-1)*Characters!$P$8+Characters!$I$8+$AK$3)*5/2)</f>
        <v>210</v>
      </c>
      <c r="AZ37" s="118">
        <f>_xlfn.FLOOR.MATH((($AI37-1)*Characters!$N$9+Characters!$G$9+$AK$2)*10/2) + _xlfn.FLOOR.MATH((($AI37-1)*Characters!$P$9+Characters!$I$9+$AK$3)*5/2)</f>
        <v>85</v>
      </c>
      <c r="BA37" s="118">
        <f>_xlfn.FLOOR.MATH((($AI37-1)*Characters!$N$10+Characters!$G$10+$AK$2)*10/2) + _xlfn.FLOOR.MATH((($AI37-1)*Characters!$P$10+Characters!$I$10+$AK$3)*5/2)</f>
        <v>236</v>
      </c>
      <c r="BB37" s="118">
        <f>_xlfn.FLOOR.MATH((($AI37-1)*Characters!$N$11+Characters!$G$11+$AK$2)*10/2) + _xlfn.FLOOR.MATH((($AI37-1)*Characters!$P$11+Characters!$I$11+$AK$3)*5/2)</f>
        <v>95</v>
      </c>
      <c r="BC37" s="119">
        <f>_xlfn.FLOOR.MATH((($AI37-1)*Characters!$N$12+Characters!$G$12+$AK$2)*10/2) + _xlfn.FLOOR.MATH((($AI37-1)*Characters!$P$12+Characters!$I$12+$AK$3)*5/2)</f>
        <v>225</v>
      </c>
    </row>
    <row r="38" spans="1:55" ht="18" customHeight="1">
      <c r="A38" s="38">
        <v>31</v>
      </c>
      <c r="B38" s="20">
        <f t="shared" si="3"/>
        <v>12</v>
      </c>
      <c r="C38" s="20">
        <f t="shared" si="4"/>
        <v>10</v>
      </c>
      <c r="D38" s="52">
        <f t="shared" si="5"/>
        <v>20</v>
      </c>
      <c r="E38" s="52">
        <f t="shared" si="9"/>
        <v>60</v>
      </c>
      <c r="F38" s="67">
        <f t="shared" si="0"/>
        <v>46</v>
      </c>
      <c r="G38" s="52">
        <f t="shared" si="1"/>
        <v>368.15000000000003</v>
      </c>
      <c r="H38" s="52">
        <f t="shared" si="6"/>
        <v>1104.45</v>
      </c>
      <c r="I38" s="52">
        <f t="shared" si="7"/>
        <v>736.30000000000007</v>
      </c>
      <c r="J38" s="69">
        <f t="shared" si="10"/>
        <v>9058.9</v>
      </c>
      <c r="K38" s="70">
        <f t="shared" si="8"/>
        <v>29</v>
      </c>
      <c r="L38" s="132"/>
      <c r="M38" s="38">
        <f>Characters!$F$13+((Characters!$M$13 )*(Floor!$F38-1))</f>
        <v>2850</v>
      </c>
      <c r="N38" s="39">
        <f>Characters!$F$14+((Characters!$M$14 )*(Floor!F38-1))</f>
        <v>2850</v>
      </c>
      <c r="O38" s="39">
        <f>Characters!$F$15+((Characters!$M$15 )*(Floor!$F38-1))</f>
        <v>2850</v>
      </c>
      <c r="P38" s="39">
        <f>Characters!$F$16+((Characters!$M$16 )*(Floor!$F38-1))</f>
        <v>2850</v>
      </c>
      <c r="Q38" s="39">
        <f>Characters!$F$17+((Characters!$M$17)*(Floor!$F38-1))</f>
        <v>2850</v>
      </c>
      <c r="R38" s="39">
        <f>Characters!$F$18+((Characters!$M$18 )*(Floor!$F38-1))</f>
        <v>2850</v>
      </c>
      <c r="S38" s="33">
        <f>Characters!$F$19+((Characters!$M$19 )*(Floor!$F38-1))</f>
        <v>2850</v>
      </c>
      <c r="T38" s="38">
        <f>_xlfn.FLOOR.MATH((Characters!$J$13+Characters!$Q$13*(Floor!$F38-1))*5/2)</f>
        <v>357</v>
      </c>
      <c r="U38" s="39">
        <f>_xlfn.FLOOR.MATH((Characters!$J$14+Characters!$Q$14*(Floor!$F38-1))*5/2)</f>
        <v>357</v>
      </c>
      <c r="V38" s="39">
        <f>_xlfn.FLOOR.MATH((Characters!$J$15+Characters!$Q$15*(Floor!$F38-1))*5/2)</f>
        <v>357</v>
      </c>
      <c r="W38" s="39">
        <f>_xlfn.FLOOR.MATH((Characters!$J$16+Characters!$Q$16*(Floor!$F38-1))*5/2)</f>
        <v>357</v>
      </c>
      <c r="X38" s="39">
        <f>_xlfn.FLOOR.MATH((Characters!$J$17+Characters!$Q$17*(Floor!$F38-1))*5/2)</f>
        <v>357</v>
      </c>
      <c r="Y38" s="39">
        <f>_xlfn.FLOOR.MATH((Characters!$J$18+Characters!$Q$18*(Floor!$F38-1))*5/2)</f>
        <v>357</v>
      </c>
      <c r="Z38" s="39">
        <f>_xlfn.FLOOR.MATH((Characters!$J$19+Characters!$Q$19*(Floor!$F38-1))*5/2)</f>
        <v>357</v>
      </c>
      <c r="AA38" s="38">
        <f>_xlfn.FLOOR.MATH((Characters!$G$13+Characters!$N$13*(Floor!$F38-1))*10/2) + _xlfn.FLOOR.MATH((($AI38-1)*Characters!$P$13+Characters!$I$13)*5/2)</f>
        <v>337</v>
      </c>
      <c r="AB38" s="39">
        <f>_xlfn.FLOOR.MATH((Characters!$G$14+Characters!$N$14*(Floor!$F38-1))*10/2) + _xlfn.FLOOR.MATH((($AI38-1)*Characters!$P$14+Characters!$I$14)*5/2)</f>
        <v>337</v>
      </c>
      <c r="AC38" s="39">
        <f>_xlfn.FLOOR.MATH((Characters!$G$15+Characters!$N$15*(Floor!$F38-1))*10/2) + _xlfn.FLOOR.MATH((($AI38-1)*Characters!$P$15+Characters!$I$15)*5/2)</f>
        <v>337</v>
      </c>
      <c r="AD38" s="39">
        <f>_xlfn.FLOOR.MATH((Characters!$G$16+Characters!$N$16*(Floor!$F38-1))*10/2) + _xlfn.FLOOR.MATH((($AI38-1)*Characters!$P$16+Characters!$I$16)*5/2)</f>
        <v>337</v>
      </c>
      <c r="AE38" s="39">
        <f>_xlfn.FLOOR.MATH((Characters!$G$17+Characters!$N$17*(Floor!$F38-1))*10/2) + _xlfn.FLOOR.MATH((($AI38-1)*Characters!$P$17+Characters!$I$17)*5/2)</f>
        <v>337</v>
      </c>
      <c r="AF38" s="39">
        <f>_xlfn.FLOOR.MATH((Characters!$G$18+Characters!$N$18*(Floor!$F38-1))*10/2) + _xlfn.FLOOR.MATH((($AI38-1)*Characters!$P$18+Characters!$I$18)*5/2)</f>
        <v>337</v>
      </c>
      <c r="AG38" s="33">
        <f>_xlfn.FLOOR.MATH((Characters!$G$19+Characters!$N$19*(Floor!$F38-1))*10/2) + _xlfn.FLOOR.MATH((($AI38-1)*Characters!$P$19+Characters!$I$19)*5/2)</f>
        <v>337</v>
      </c>
      <c r="AH38" s="67"/>
      <c r="AI38" s="38">
        <v>31</v>
      </c>
      <c r="AJ38" s="71">
        <f t="shared" si="2"/>
        <v>963.8</v>
      </c>
      <c r="AK38" s="105">
        <f t="shared" si="11"/>
        <v>10521.4</v>
      </c>
      <c r="AL38" s="38">
        <f>_xlfn.FLOOR.MATH(($AI38-1)*Characters!$M$7+Characters!$F$7)+$AK$5</f>
        <v>5300</v>
      </c>
      <c r="AM38" s="39">
        <f>_xlfn.FLOOR.MATH(($AI38-1)*Characters!$M$8+Characters!$F$8)+$AK$5</f>
        <v>5950</v>
      </c>
      <c r="AN38" s="39">
        <f>_xlfn.FLOOR.MATH(($AI38-1)*Characters!$M$9+Characters!$F$9)+$AK$5</f>
        <v>5080</v>
      </c>
      <c r="AO38" s="39">
        <f>_xlfn.FLOOR.MATH(($AI38-1)*Characters!$M$10+Characters!$F$10)+$AK$5</f>
        <v>5410</v>
      </c>
      <c r="AP38" s="39">
        <f>_xlfn.FLOOR.MATH(($AI38-1)*Characters!$M$11+Characters!$F$11)+$AK$5</f>
        <v>5080</v>
      </c>
      <c r="AQ38" s="39">
        <f>_xlfn.FLOOR.MATH(($AI38-1)*Characters!$M$12+Characters!$F$12)+$AK$5</f>
        <v>5560</v>
      </c>
      <c r="AR38" s="38">
        <f>_xlfn.FLOOR.MATH((($AI38-1)*Characters!$Q$7+Characters!$J$7+$AK$4)*5/2)</f>
        <v>140</v>
      </c>
      <c r="AS38" s="39">
        <f>_xlfn.FLOOR.MATH((($AI38-1)*Characters!$Q$8+Characters!$J$8+$AK$4)*5/2)</f>
        <v>155</v>
      </c>
      <c r="AT38" s="39">
        <f>_xlfn.FLOOR.MATH((($AI38-1)*Characters!$Q$9+Characters!$J$9+$AK$4)*5/2)</f>
        <v>127</v>
      </c>
      <c r="AU38" s="39">
        <f>_xlfn.FLOOR.MATH((($AI38-1)*Characters!$Q$10+Characters!$J$10+$AK$4)*5/2)</f>
        <v>142</v>
      </c>
      <c r="AV38" s="39">
        <f>_xlfn.FLOOR.MATH((($AI38-1)*Characters!$Q$11+Characters!$J$11+$AK$4)*5/2)</f>
        <v>125</v>
      </c>
      <c r="AW38" s="39">
        <f>_xlfn.FLOOR.MATH((($AI38-1)*Characters!$Q$12+Characters!$J$12+$AK$4)*5/2)</f>
        <v>155</v>
      </c>
      <c r="AX38" s="38">
        <f>_xlfn.FLOOR.MATH((($AI38-1)*Characters!$N$7+Characters!$G$7+$AK$2)*10/2) + _xlfn.FLOOR.MATH((($AI38-1)*Characters!$P$7+Characters!$I$7+$AK$3)*5/2)</f>
        <v>150</v>
      </c>
      <c r="AY38" s="39">
        <f>_xlfn.FLOOR.MATH((($AI38-1)*Characters!$N$8+Characters!$G$8+$AK$2)*10/2) + _xlfn.FLOOR.MATH((($AI38-1)*Characters!$P$8+Characters!$I$8+$AK$3)*5/2)</f>
        <v>215</v>
      </c>
      <c r="AZ38" s="39">
        <f>_xlfn.FLOOR.MATH((($AI38-1)*Characters!$N$9+Characters!$G$9+$AK$2)*10/2) + _xlfn.FLOOR.MATH((($AI38-1)*Characters!$P$9+Characters!$I$9+$AK$3)*5/2)</f>
        <v>87</v>
      </c>
      <c r="BA38" s="39">
        <f>_xlfn.FLOOR.MATH((($AI38-1)*Characters!$N$10+Characters!$G$10+$AK$2)*10/2) + _xlfn.FLOOR.MATH((($AI38-1)*Characters!$P$10+Characters!$I$10+$AK$3)*5/2)</f>
        <v>242</v>
      </c>
      <c r="BB38" s="39">
        <f>_xlfn.FLOOR.MATH((($AI38-1)*Characters!$N$11+Characters!$G$11+$AK$2)*10/2) + _xlfn.FLOOR.MATH((($AI38-1)*Characters!$P$11+Characters!$I$11+$AK$3)*5/2)</f>
        <v>97</v>
      </c>
      <c r="BC38" s="33">
        <f>_xlfn.FLOOR.MATH((($AI38-1)*Characters!$N$12+Characters!$G$12+$AK$2)*10/2) + _xlfn.FLOOR.MATH((($AI38-1)*Characters!$P$12+Characters!$I$12+$AK$3)*5/2)</f>
        <v>230</v>
      </c>
    </row>
    <row r="39" spans="1:55" ht="18" customHeight="1">
      <c r="A39" s="38">
        <v>32</v>
      </c>
      <c r="B39" s="20">
        <f t="shared" si="3"/>
        <v>12</v>
      </c>
      <c r="C39" s="20">
        <f t="shared" si="4"/>
        <v>10</v>
      </c>
      <c r="D39" s="52">
        <f t="shared" si="5"/>
        <v>20</v>
      </c>
      <c r="E39" s="52">
        <f t="shared" si="9"/>
        <v>60</v>
      </c>
      <c r="F39" s="67">
        <f t="shared" si="0"/>
        <v>47</v>
      </c>
      <c r="G39" s="52">
        <f t="shared" si="1"/>
        <v>376.15</v>
      </c>
      <c r="H39" s="52">
        <f t="shared" si="6"/>
        <v>1128.4499999999998</v>
      </c>
      <c r="I39" s="52">
        <f t="shared" si="7"/>
        <v>752.3</v>
      </c>
      <c r="J39" s="69">
        <f t="shared" si="10"/>
        <v>9811.1999999999989</v>
      </c>
      <c r="K39" s="70">
        <f t="shared" si="8"/>
        <v>30</v>
      </c>
      <c r="L39" s="132"/>
      <c r="M39" s="38">
        <f>Characters!$F$13+((Characters!$M$13 )*(Floor!$F39-1))</f>
        <v>2910</v>
      </c>
      <c r="N39" s="39">
        <f>Characters!$F$14+((Characters!$M$14 )*(Floor!F39-1))</f>
        <v>2910</v>
      </c>
      <c r="O39" s="39">
        <f>Characters!$F$15+((Characters!$M$15 )*(Floor!$F39-1))</f>
        <v>2910</v>
      </c>
      <c r="P39" s="39">
        <f>Characters!$F$16+((Characters!$M$16 )*(Floor!$F39-1))</f>
        <v>2910</v>
      </c>
      <c r="Q39" s="39">
        <f>Characters!$F$17+((Characters!$M$17)*(Floor!$F39-1))</f>
        <v>2910</v>
      </c>
      <c r="R39" s="39">
        <f>Characters!$F$18+((Characters!$M$18 )*(Floor!$F39-1))</f>
        <v>2910</v>
      </c>
      <c r="S39" s="33">
        <f>Characters!$F$19+((Characters!$M$19 )*(Floor!$F39-1))</f>
        <v>2910</v>
      </c>
      <c r="T39" s="38">
        <f>_xlfn.FLOOR.MATH((Characters!$J$13+Characters!$Q$13*(Floor!$F39-1))*5/2)</f>
        <v>365</v>
      </c>
      <c r="U39" s="39">
        <f>_xlfn.FLOOR.MATH((Characters!$J$14+Characters!$Q$14*(Floor!$F39-1))*5/2)</f>
        <v>365</v>
      </c>
      <c r="V39" s="39">
        <f>_xlfn.FLOOR.MATH((Characters!$J$15+Characters!$Q$15*(Floor!$F39-1))*5/2)</f>
        <v>365</v>
      </c>
      <c r="W39" s="39">
        <f>_xlfn.FLOOR.MATH((Characters!$J$16+Characters!$Q$16*(Floor!$F39-1))*5/2)</f>
        <v>365</v>
      </c>
      <c r="X39" s="39">
        <f>_xlfn.FLOOR.MATH((Characters!$J$17+Characters!$Q$17*(Floor!$F39-1))*5/2)</f>
        <v>365</v>
      </c>
      <c r="Y39" s="39">
        <f>_xlfn.FLOOR.MATH((Characters!$J$18+Characters!$Q$18*(Floor!$F39-1))*5/2)</f>
        <v>365</v>
      </c>
      <c r="Z39" s="39">
        <f>_xlfn.FLOOR.MATH((Characters!$J$19+Characters!$Q$19*(Floor!$F39-1))*5/2)</f>
        <v>365</v>
      </c>
      <c r="AA39" s="38">
        <f>_xlfn.FLOOR.MATH((Characters!$G$13+Characters!$N$13*(Floor!$F39-1))*10/2) + _xlfn.FLOOR.MATH((($AI39-1)*Characters!$P$13+Characters!$I$13)*5/2)</f>
        <v>344</v>
      </c>
      <c r="AB39" s="39">
        <f>_xlfn.FLOOR.MATH((Characters!$G$14+Characters!$N$14*(Floor!$F39-1))*10/2) + _xlfn.FLOOR.MATH((($AI39-1)*Characters!$P$14+Characters!$I$14)*5/2)</f>
        <v>344</v>
      </c>
      <c r="AC39" s="39">
        <f>_xlfn.FLOOR.MATH((Characters!$G$15+Characters!$N$15*(Floor!$F39-1))*10/2) + _xlfn.FLOOR.MATH((($AI39-1)*Characters!$P$15+Characters!$I$15)*5/2)</f>
        <v>344</v>
      </c>
      <c r="AD39" s="39">
        <f>_xlfn.FLOOR.MATH((Characters!$G$16+Characters!$N$16*(Floor!$F39-1))*10/2) + _xlfn.FLOOR.MATH((($AI39-1)*Characters!$P$16+Characters!$I$16)*5/2)</f>
        <v>344</v>
      </c>
      <c r="AE39" s="39">
        <f>_xlfn.FLOOR.MATH((Characters!$G$17+Characters!$N$17*(Floor!$F39-1))*10/2) + _xlfn.FLOOR.MATH((($AI39-1)*Characters!$P$17+Characters!$I$17)*5/2)</f>
        <v>344</v>
      </c>
      <c r="AF39" s="39">
        <f>_xlfn.FLOOR.MATH((Characters!$G$18+Characters!$N$18*(Floor!$F39-1))*10/2) + _xlfn.FLOOR.MATH((($AI39-1)*Characters!$P$18+Characters!$I$18)*5/2)</f>
        <v>344</v>
      </c>
      <c r="AG39" s="33">
        <f>_xlfn.FLOOR.MATH((Characters!$G$19+Characters!$N$19*(Floor!$F39-1))*10/2) + _xlfn.FLOOR.MATH((($AI39-1)*Characters!$P$19+Characters!$I$19)*5/2)</f>
        <v>344</v>
      </c>
      <c r="AH39" s="67"/>
      <c r="AI39" s="38">
        <v>32</v>
      </c>
      <c r="AJ39" s="71">
        <f t="shared" si="2"/>
        <v>1026.76</v>
      </c>
      <c r="AK39" s="105">
        <f t="shared" si="11"/>
        <v>11548.16</v>
      </c>
      <c r="AL39" s="38">
        <f>_xlfn.FLOOR.MATH(($AI39-1)*Characters!$M$7+Characters!$F$7)+$AK$5</f>
        <v>5330</v>
      </c>
      <c r="AM39" s="39">
        <f>_xlfn.FLOOR.MATH(($AI39-1)*Characters!$M$8+Characters!$F$8)+$AK$5</f>
        <v>6000</v>
      </c>
      <c r="AN39" s="39">
        <f>_xlfn.FLOOR.MATH(($AI39-1)*Characters!$M$9+Characters!$F$9)+$AK$5</f>
        <v>5105</v>
      </c>
      <c r="AO39" s="39">
        <f>_xlfn.FLOOR.MATH(($AI39-1)*Characters!$M$10+Characters!$F$10)+$AK$5</f>
        <v>5445</v>
      </c>
      <c r="AP39" s="39">
        <f>_xlfn.FLOOR.MATH(($AI39-1)*Characters!$M$11+Characters!$F$11)+$AK$5</f>
        <v>5105</v>
      </c>
      <c r="AQ39" s="39">
        <f>_xlfn.FLOOR.MATH(($AI39-1)*Characters!$M$12+Characters!$F$12)+$AK$5</f>
        <v>5600</v>
      </c>
      <c r="AR39" s="38">
        <f>_xlfn.FLOOR.MATH((($AI39-1)*Characters!$Q$7+Characters!$J$7+$AK$4)*5/2)</f>
        <v>141</v>
      </c>
      <c r="AS39" s="39">
        <f>_xlfn.FLOOR.MATH((($AI39-1)*Characters!$Q$8+Characters!$J$8+$AK$4)*5/2)</f>
        <v>156</v>
      </c>
      <c r="AT39" s="39">
        <f>_xlfn.FLOOR.MATH((($AI39-1)*Characters!$Q$9+Characters!$J$9+$AK$4)*5/2)</f>
        <v>128</v>
      </c>
      <c r="AU39" s="39">
        <f>_xlfn.FLOOR.MATH((($AI39-1)*Characters!$Q$10+Characters!$J$10+$AK$4)*5/2)</f>
        <v>143</v>
      </c>
      <c r="AV39" s="39">
        <f>_xlfn.FLOOR.MATH((($AI39-1)*Characters!$Q$11+Characters!$J$11+$AK$4)*5/2)</f>
        <v>125</v>
      </c>
      <c r="AW39" s="39">
        <f>_xlfn.FLOOR.MATH((($AI39-1)*Characters!$Q$12+Characters!$J$12+$AK$4)*5/2)</f>
        <v>156</v>
      </c>
      <c r="AX39" s="38">
        <f>_xlfn.FLOOR.MATH((($AI39-1)*Characters!$N$7+Characters!$G$7+$AK$2)*10/2) + _xlfn.FLOOR.MATH((($AI39-1)*Characters!$P$7+Characters!$I$7+$AK$3)*5/2)</f>
        <v>153</v>
      </c>
      <c r="AY39" s="39">
        <f>_xlfn.FLOOR.MATH((($AI39-1)*Characters!$N$8+Characters!$G$8+$AK$2)*10/2) + _xlfn.FLOOR.MATH((($AI39-1)*Characters!$P$8+Characters!$I$8+$AK$3)*5/2)</f>
        <v>219</v>
      </c>
      <c r="AZ39" s="39">
        <f>_xlfn.FLOOR.MATH((($AI39-1)*Characters!$N$9+Characters!$G$9+$AK$2)*10/2) + _xlfn.FLOOR.MATH((($AI39-1)*Characters!$P$9+Characters!$I$9+$AK$3)*5/2)</f>
        <v>89</v>
      </c>
      <c r="BA39" s="39">
        <f>_xlfn.FLOOR.MATH((($AI39-1)*Characters!$N$10+Characters!$G$10+$AK$2)*10/2) + _xlfn.FLOOR.MATH((($AI39-1)*Characters!$P$10+Characters!$I$10+$AK$3)*5/2)</f>
        <v>247</v>
      </c>
      <c r="BB39" s="39">
        <f>_xlfn.FLOOR.MATH((($AI39-1)*Characters!$N$11+Characters!$G$11+$AK$2)*10/2) + _xlfn.FLOOR.MATH((($AI39-1)*Characters!$P$11+Characters!$I$11+$AK$3)*5/2)</f>
        <v>99</v>
      </c>
      <c r="BC39" s="33">
        <f>_xlfn.FLOOR.MATH((($AI39-1)*Characters!$N$12+Characters!$G$12+$AK$2)*10/2) + _xlfn.FLOOR.MATH((($AI39-1)*Characters!$P$12+Characters!$I$12+$AK$3)*5/2)</f>
        <v>235</v>
      </c>
    </row>
    <row r="40" spans="1:55" ht="18" customHeight="1">
      <c r="A40" s="38">
        <v>33</v>
      </c>
      <c r="B40" s="20">
        <f t="shared" si="3"/>
        <v>12</v>
      </c>
      <c r="C40" s="20">
        <f t="shared" si="4"/>
        <v>10</v>
      </c>
      <c r="D40" s="52">
        <f t="shared" si="5"/>
        <v>20</v>
      </c>
      <c r="E40" s="52">
        <f t="shared" si="9"/>
        <v>60</v>
      </c>
      <c r="F40" s="67">
        <f t="shared" ref="F40:F71" si="12">_xlfn.FLOOR.MATH((A40-1)*$D$3)+1</f>
        <v>49</v>
      </c>
      <c r="G40" s="52">
        <f t="shared" ref="G40:G71" si="13">D40*(F40 * $C$3) + $B$3</f>
        <v>392.15</v>
      </c>
      <c r="H40" s="52">
        <f t="shared" si="6"/>
        <v>1176.4499999999998</v>
      </c>
      <c r="I40" s="52">
        <f t="shared" si="7"/>
        <v>784.3</v>
      </c>
      <c r="J40" s="69">
        <f t="shared" si="10"/>
        <v>10595.499999999998</v>
      </c>
      <c r="K40" s="70">
        <f t="shared" si="8"/>
        <v>31</v>
      </c>
      <c r="L40" s="132"/>
      <c r="M40" s="38">
        <f>Characters!$F$13+((Characters!$M$13 )*(Floor!$F40-1))</f>
        <v>3030</v>
      </c>
      <c r="N40" s="39">
        <f>Characters!$F$14+((Characters!$M$14 )*(Floor!F40-1))</f>
        <v>3030</v>
      </c>
      <c r="O40" s="39">
        <f>Characters!$F$15+((Characters!$M$15 )*(Floor!$F40-1))</f>
        <v>3030</v>
      </c>
      <c r="P40" s="39">
        <f>Characters!$F$16+((Characters!$M$16 )*(Floor!$F40-1))</f>
        <v>3030</v>
      </c>
      <c r="Q40" s="39">
        <f>Characters!$F$17+((Characters!$M$17)*(Floor!$F40-1))</f>
        <v>3030</v>
      </c>
      <c r="R40" s="39">
        <f>Characters!$F$18+((Characters!$M$18 )*(Floor!$F40-1))</f>
        <v>3030</v>
      </c>
      <c r="S40" s="33">
        <f>Characters!$F$19+((Characters!$M$19 )*(Floor!$F40-1))</f>
        <v>3030</v>
      </c>
      <c r="T40" s="38">
        <f>_xlfn.FLOOR.MATH((Characters!$J$13+Characters!$Q$13*(Floor!$F40-1))*5/2)</f>
        <v>380</v>
      </c>
      <c r="U40" s="39">
        <f>_xlfn.FLOOR.MATH((Characters!$J$14+Characters!$Q$14*(Floor!$F40-1))*5/2)</f>
        <v>380</v>
      </c>
      <c r="V40" s="39">
        <f>_xlfn.FLOOR.MATH((Characters!$J$15+Characters!$Q$15*(Floor!$F40-1))*5/2)</f>
        <v>380</v>
      </c>
      <c r="W40" s="39">
        <f>_xlfn.FLOOR.MATH((Characters!$J$16+Characters!$Q$16*(Floor!$F40-1))*5/2)</f>
        <v>380</v>
      </c>
      <c r="X40" s="39">
        <f>_xlfn.FLOOR.MATH((Characters!$J$17+Characters!$Q$17*(Floor!$F40-1))*5/2)</f>
        <v>380</v>
      </c>
      <c r="Y40" s="39">
        <f>_xlfn.FLOOR.MATH((Characters!$J$18+Characters!$Q$18*(Floor!$F40-1))*5/2)</f>
        <v>380</v>
      </c>
      <c r="Z40" s="39">
        <f>_xlfn.FLOOR.MATH((Characters!$J$19+Characters!$Q$19*(Floor!$F40-1))*5/2)</f>
        <v>380</v>
      </c>
      <c r="AA40" s="38">
        <f>_xlfn.FLOOR.MATH((Characters!$G$13+Characters!$N$13*(Floor!$F40-1))*10/2) + _xlfn.FLOOR.MATH((($AI40-1)*Characters!$P$13+Characters!$I$13)*5/2)</f>
        <v>358</v>
      </c>
      <c r="AB40" s="39">
        <f>_xlfn.FLOOR.MATH((Characters!$G$14+Characters!$N$14*(Floor!$F40-1))*10/2) + _xlfn.FLOOR.MATH((($AI40-1)*Characters!$P$14+Characters!$I$14)*5/2)</f>
        <v>358</v>
      </c>
      <c r="AC40" s="39">
        <f>_xlfn.FLOOR.MATH((Characters!$G$15+Characters!$N$15*(Floor!$F40-1))*10/2) + _xlfn.FLOOR.MATH((($AI40-1)*Characters!$P$15+Characters!$I$15)*5/2)</f>
        <v>358</v>
      </c>
      <c r="AD40" s="39">
        <f>_xlfn.FLOOR.MATH((Characters!$G$16+Characters!$N$16*(Floor!$F40-1))*10/2) + _xlfn.FLOOR.MATH((($AI40-1)*Characters!$P$16+Characters!$I$16)*5/2)</f>
        <v>358</v>
      </c>
      <c r="AE40" s="39">
        <f>_xlfn.FLOOR.MATH((Characters!$G$17+Characters!$N$17*(Floor!$F40-1))*10/2) + _xlfn.FLOOR.MATH((($AI40-1)*Characters!$P$17+Characters!$I$17)*5/2)</f>
        <v>358</v>
      </c>
      <c r="AF40" s="39">
        <f>_xlfn.FLOOR.MATH((Characters!$G$18+Characters!$N$18*(Floor!$F40-1))*10/2) + _xlfn.FLOOR.MATH((($AI40-1)*Characters!$P$18+Characters!$I$18)*5/2)</f>
        <v>358</v>
      </c>
      <c r="AG40" s="33">
        <f>_xlfn.FLOOR.MATH((Characters!$G$19+Characters!$N$19*(Floor!$F40-1))*10/2) + _xlfn.FLOOR.MATH((($AI40-1)*Characters!$P$19+Characters!$I$19)*5/2)</f>
        <v>358</v>
      </c>
      <c r="AH40" s="67"/>
      <c r="AI40" s="38">
        <v>33</v>
      </c>
      <c r="AJ40" s="71">
        <f t="shared" si="2"/>
        <v>1091.72</v>
      </c>
      <c r="AK40" s="105">
        <f t="shared" si="11"/>
        <v>12639.88</v>
      </c>
      <c r="AL40" s="38">
        <f>_xlfn.FLOOR.MATH(($AI40-1)*Characters!$M$7+Characters!$F$7)+$AK$5</f>
        <v>5360</v>
      </c>
      <c r="AM40" s="39">
        <f>_xlfn.FLOOR.MATH(($AI40-1)*Characters!$M$8+Characters!$F$8)+$AK$5</f>
        <v>6050</v>
      </c>
      <c r="AN40" s="39">
        <f>_xlfn.FLOOR.MATH(($AI40-1)*Characters!$M$9+Characters!$F$9)+$AK$5</f>
        <v>5130</v>
      </c>
      <c r="AO40" s="39">
        <f>_xlfn.FLOOR.MATH(($AI40-1)*Characters!$M$10+Characters!$F$10)+$AK$5</f>
        <v>5480</v>
      </c>
      <c r="AP40" s="39">
        <f>_xlfn.FLOOR.MATH(($AI40-1)*Characters!$M$11+Characters!$F$11)+$AK$5</f>
        <v>5130</v>
      </c>
      <c r="AQ40" s="39">
        <f>_xlfn.FLOOR.MATH(($AI40-1)*Characters!$M$12+Characters!$F$12)+$AK$5</f>
        <v>5640</v>
      </c>
      <c r="AR40" s="38">
        <f>_xlfn.FLOOR.MATH((($AI40-1)*Characters!$Q$7+Characters!$J$7+$AK$4)*5/2)</f>
        <v>142</v>
      </c>
      <c r="AS40" s="39">
        <f>_xlfn.FLOOR.MATH((($AI40-1)*Characters!$Q$8+Characters!$J$8+$AK$4)*5/2)</f>
        <v>158</v>
      </c>
      <c r="AT40" s="39">
        <f>_xlfn.FLOOR.MATH((($AI40-1)*Characters!$Q$9+Characters!$J$9+$AK$4)*5/2)</f>
        <v>129</v>
      </c>
      <c r="AU40" s="39">
        <f>_xlfn.FLOOR.MATH((($AI40-1)*Characters!$Q$10+Characters!$J$10+$AK$4)*5/2)</f>
        <v>145</v>
      </c>
      <c r="AV40" s="39">
        <f>_xlfn.FLOOR.MATH((($AI40-1)*Characters!$Q$11+Characters!$J$11+$AK$4)*5/2)</f>
        <v>126</v>
      </c>
      <c r="AW40" s="39">
        <f>_xlfn.FLOOR.MATH((($AI40-1)*Characters!$Q$12+Characters!$J$12+$AK$4)*5/2)</f>
        <v>158</v>
      </c>
      <c r="AX40" s="38">
        <f>_xlfn.FLOOR.MATH((($AI40-1)*Characters!$N$7+Characters!$G$7+$AK$2)*10/2) + _xlfn.FLOOR.MATH((($AI40-1)*Characters!$P$7+Characters!$I$7+$AK$3)*5/2)</f>
        <v>157</v>
      </c>
      <c r="AY40" s="39">
        <f>_xlfn.FLOOR.MATH((($AI40-1)*Characters!$N$8+Characters!$G$8+$AK$2)*10/2) + _xlfn.FLOOR.MATH((($AI40-1)*Characters!$P$8+Characters!$I$8+$AK$3)*5/2)</f>
        <v>224</v>
      </c>
      <c r="AZ40" s="39">
        <f>_xlfn.FLOOR.MATH((($AI40-1)*Characters!$N$9+Characters!$G$9+$AK$2)*10/2) + _xlfn.FLOOR.MATH((($AI40-1)*Characters!$P$9+Characters!$I$9+$AK$3)*5/2)</f>
        <v>91</v>
      </c>
      <c r="BA40" s="39">
        <f>_xlfn.FLOOR.MATH((($AI40-1)*Characters!$N$10+Characters!$G$10+$AK$2)*10/2) + _xlfn.FLOOR.MATH((($AI40-1)*Characters!$P$10+Characters!$I$10+$AK$3)*5/2)</f>
        <v>253</v>
      </c>
      <c r="BB40" s="39">
        <f>_xlfn.FLOOR.MATH((($AI40-1)*Characters!$N$11+Characters!$G$11+$AK$2)*10/2) + _xlfn.FLOOR.MATH((($AI40-1)*Characters!$P$11+Characters!$I$11+$AK$3)*5/2)</f>
        <v>101</v>
      </c>
      <c r="BC40" s="33">
        <f>_xlfn.FLOOR.MATH((($AI40-1)*Characters!$N$12+Characters!$G$12+$AK$2)*10/2) + _xlfn.FLOOR.MATH((($AI40-1)*Characters!$P$12+Characters!$I$12+$AK$3)*5/2)</f>
        <v>240</v>
      </c>
    </row>
    <row r="41" spans="1:55" ht="18" customHeight="1">
      <c r="A41" s="38">
        <v>34</v>
      </c>
      <c r="B41" s="20">
        <f t="shared" si="3"/>
        <v>12</v>
      </c>
      <c r="C41" s="20">
        <f t="shared" si="4"/>
        <v>10</v>
      </c>
      <c r="D41" s="52">
        <f t="shared" si="5"/>
        <v>20</v>
      </c>
      <c r="E41" s="52">
        <f t="shared" si="9"/>
        <v>60</v>
      </c>
      <c r="F41" s="67">
        <f t="shared" si="12"/>
        <v>50</v>
      </c>
      <c r="G41" s="52">
        <f t="shared" si="13"/>
        <v>400.15</v>
      </c>
      <c r="H41" s="52">
        <f t="shared" si="6"/>
        <v>1200.45</v>
      </c>
      <c r="I41" s="52">
        <f t="shared" si="7"/>
        <v>800.3</v>
      </c>
      <c r="J41" s="69">
        <f t="shared" si="10"/>
        <v>11395.799999999997</v>
      </c>
      <c r="K41" s="70">
        <f t="shared" ref="K41:K72" si="14">MATCH(J41,$AK$8:$AK$107,1)</f>
        <v>31</v>
      </c>
      <c r="L41" s="132"/>
      <c r="M41" s="38">
        <f>Characters!$F$13+((Characters!$M$13 )*(Floor!$F41-1))</f>
        <v>3090</v>
      </c>
      <c r="N41" s="39">
        <f>Characters!$F$14+((Characters!$M$14 )*(Floor!F41-1))</f>
        <v>3090</v>
      </c>
      <c r="O41" s="39">
        <f>Characters!$F$15+((Characters!$M$15 )*(Floor!$F41-1))</f>
        <v>3090</v>
      </c>
      <c r="P41" s="39">
        <f>Characters!$F$16+((Characters!$M$16 )*(Floor!$F41-1))</f>
        <v>3090</v>
      </c>
      <c r="Q41" s="39">
        <f>Characters!$F$17+((Characters!$M$17)*(Floor!$F41-1))</f>
        <v>3090</v>
      </c>
      <c r="R41" s="39">
        <f>Characters!$F$18+((Characters!$M$18 )*(Floor!$F41-1))</f>
        <v>3090</v>
      </c>
      <c r="S41" s="33">
        <f>Characters!$F$19+((Characters!$M$19 )*(Floor!$F41-1))</f>
        <v>3090</v>
      </c>
      <c r="T41" s="38">
        <f>_xlfn.FLOOR.MATH((Characters!$J$13+Characters!$Q$13*(Floor!$F41-1))*5/2)</f>
        <v>387</v>
      </c>
      <c r="U41" s="39">
        <f>_xlfn.FLOOR.MATH((Characters!$J$14+Characters!$Q$14*(Floor!$F41-1))*5/2)</f>
        <v>387</v>
      </c>
      <c r="V41" s="39">
        <f>_xlfn.FLOOR.MATH((Characters!$J$15+Characters!$Q$15*(Floor!$F41-1))*5/2)</f>
        <v>387</v>
      </c>
      <c r="W41" s="39">
        <f>_xlfn.FLOOR.MATH((Characters!$J$16+Characters!$Q$16*(Floor!$F41-1))*5/2)</f>
        <v>387</v>
      </c>
      <c r="X41" s="39">
        <f>_xlfn.FLOOR.MATH((Characters!$J$17+Characters!$Q$17*(Floor!$F41-1))*5/2)</f>
        <v>387</v>
      </c>
      <c r="Y41" s="39">
        <f>_xlfn.FLOOR.MATH((Characters!$J$18+Characters!$Q$18*(Floor!$F41-1))*5/2)</f>
        <v>387</v>
      </c>
      <c r="Z41" s="39">
        <f>_xlfn.FLOOR.MATH((Characters!$J$19+Characters!$Q$19*(Floor!$F41-1))*5/2)</f>
        <v>387</v>
      </c>
      <c r="AA41" s="38">
        <f>_xlfn.FLOOR.MATH((Characters!$G$13+Characters!$N$13*(Floor!$F41-1))*10/2) + _xlfn.FLOOR.MATH((($AI41-1)*Characters!$P$13+Characters!$I$13)*5/2)</f>
        <v>365</v>
      </c>
      <c r="AB41" s="39">
        <f>_xlfn.FLOOR.MATH((Characters!$G$14+Characters!$N$14*(Floor!$F41-1))*10/2) + _xlfn.FLOOR.MATH((($AI41-1)*Characters!$P$14+Characters!$I$14)*5/2)</f>
        <v>365</v>
      </c>
      <c r="AC41" s="39">
        <f>_xlfn.FLOOR.MATH((Characters!$G$15+Characters!$N$15*(Floor!$F41-1))*10/2) + _xlfn.FLOOR.MATH((($AI41-1)*Characters!$P$15+Characters!$I$15)*5/2)</f>
        <v>365</v>
      </c>
      <c r="AD41" s="39">
        <f>_xlfn.FLOOR.MATH((Characters!$G$16+Characters!$N$16*(Floor!$F41-1))*10/2) + _xlfn.FLOOR.MATH((($AI41-1)*Characters!$P$16+Characters!$I$16)*5/2)</f>
        <v>365</v>
      </c>
      <c r="AE41" s="39">
        <f>_xlfn.FLOOR.MATH((Characters!$G$17+Characters!$N$17*(Floor!$F41-1))*10/2) + _xlfn.FLOOR.MATH((($AI41-1)*Characters!$P$17+Characters!$I$17)*5/2)</f>
        <v>365</v>
      </c>
      <c r="AF41" s="39">
        <f>_xlfn.FLOOR.MATH((Characters!$G$18+Characters!$N$18*(Floor!$F41-1))*10/2) + _xlfn.FLOOR.MATH((($AI41-1)*Characters!$P$18+Characters!$I$18)*5/2)</f>
        <v>365</v>
      </c>
      <c r="AG41" s="33">
        <f>_xlfn.FLOOR.MATH((Characters!$G$19+Characters!$N$19*(Floor!$F41-1))*10/2) + _xlfn.FLOOR.MATH((($AI41-1)*Characters!$P$19+Characters!$I$19)*5/2)</f>
        <v>365</v>
      </c>
      <c r="AH41" s="67"/>
      <c r="AI41" s="38">
        <v>34</v>
      </c>
      <c r="AJ41" s="71">
        <f t="shared" si="2"/>
        <v>1158.68</v>
      </c>
      <c r="AK41" s="105">
        <f t="shared" si="11"/>
        <v>13798.56</v>
      </c>
      <c r="AL41" s="38">
        <f>_xlfn.FLOOR.MATH(($AI41-1)*Characters!$M$7+Characters!$F$7)+$AK$5</f>
        <v>5390</v>
      </c>
      <c r="AM41" s="39">
        <f>_xlfn.FLOOR.MATH(($AI41-1)*Characters!$M$8+Characters!$F$8)+$AK$5</f>
        <v>6100</v>
      </c>
      <c r="AN41" s="39">
        <f>_xlfn.FLOOR.MATH(($AI41-1)*Characters!$M$9+Characters!$F$9)+$AK$5</f>
        <v>5155</v>
      </c>
      <c r="AO41" s="39">
        <f>_xlfn.FLOOR.MATH(($AI41-1)*Characters!$M$10+Characters!$F$10)+$AK$5</f>
        <v>5515</v>
      </c>
      <c r="AP41" s="39">
        <f>_xlfn.FLOOR.MATH(($AI41-1)*Characters!$M$11+Characters!$F$11)+$AK$5</f>
        <v>5155</v>
      </c>
      <c r="AQ41" s="39">
        <f>_xlfn.FLOOR.MATH(($AI41-1)*Characters!$M$12+Characters!$F$12)+$AK$5</f>
        <v>5680</v>
      </c>
      <c r="AR41" s="38">
        <f>_xlfn.FLOOR.MATH((($AI41-1)*Characters!$Q$7+Characters!$J$7+$AK$4)*5/2)</f>
        <v>143</v>
      </c>
      <c r="AS41" s="39">
        <f>_xlfn.FLOOR.MATH((($AI41-1)*Characters!$Q$8+Characters!$J$8+$AK$4)*5/2)</f>
        <v>159</v>
      </c>
      <c r="AT41" s="39">
        <f>_xlfn.FLOOR.MATH((($AI41-1)*Characters!$Q$9+Characters!$J$9+$AK$4)*5/2)</f>
        <v>129</v>
      </c>
      <c r="AU41" s="39">
        <f>_xlfn.FLOOR.MATH((($AI41-1)*Characters!$Q$10+Characters!$J$10+$AK$4)*5/2)</f>
        <v>146</v>
      </c>
      <c r="AV41" s="39">
        <f>_xlfn.FLOOR.MATH((($AI41-1)*Characters!$Q$11+Characters!$J$11+$AK$4)*5/2)</f>
        <v>127</v>
      </c>
      <c r="AW41" s="39">
        <f>_xlfn.FLOOR.MATH((($AI41-1)*Characters!$Q$12+Characters!$J$12+$AK$4)*5/2)</f>
        <v>159</v>
      </c>
      <c r="AX41" s="38">
        <f>_xlfn.FLOOR.MATH((($AI41-1)*Characters!$N$7+Characters!$G$7+$AK$2)*10/2) + _xlfn.FLOOR.MATH((($AI41-1)*Characters!$P$7+Characters!$I$7+$AK$3)*5/2)</f>
        <v>160</v>
      </c>
      <c r="AY41" s="39">
        <f>_xlfn.FLOOR.MATH((($AI41-1)*Characters!$N$8+Characters!$G$8+$AK$2)*10/2) + _xlfn.FLOOR.MATH((($AI41-1)*Characters!$P$8+Characters!$I$8+$AK$3)*5/2)</f>
        <v>228</v>
      </c>
      <c r="AZ41" s="39">
        <f>_xlfn.FLOOR.MATH((($AI41-1)*Characters!$N$9+Characters!$G$9+$AK$2)*10/2) + _xlfn.FLOOR.MATH((($AI41-1)*Characters!$P$9+Characters!$I$9+$AK$3)*5/2)</f>
        <v>92</v>
      </c>
      <c r="BA41" s="39">
        <f>_xlfn.FLOOR.MATH((($AI41-1)*Characters!$N$10+Characters!$G$10+$AK$2)*10/2) + _xlfn.FLOOR.MATH((($AI41-1)*Characters!$P$10+Characters!$I$10+$AK$3)*5/2)</f>
        <v>258</v>
      </c>
      <c r="BB41" s="39">
        <f>_xlfn.FLOOR.MATH((($AI41-1)*Characters!$N$11+Characters!$G$11+$AK$2)*10/2) + _xlfn.FLOOR.MATH((($AI41-1)*Characters!$P$11+Characters!$I$11+$AK$3)*5/2)</f>
        <v>103</v>
      </c>
      <c r="BC41" s="33">
        <f>_xlfn.FLOOR.MATH((($AI41-1)*Characters!$N$12+Characters!$G$12+$AK$2)*10/2) + _xlfn.FLOOR.MATH((($AI41-1)*Characters!$P$12+Characters!$I$12+$AK$3)*5/2)</f>
        <v>245</v>
      </c>
    </row>
    <row r="42" spans="1:55" ht="18" customHeight="1">
      <c r="A42" s="38">
        <v>35</v>
      </c>
      <c r="B42" s="20">
        <f t="shared" si="3"/>
        <v>13</v>
      </c>
      <c r="C42" s="20">
        <f t="shared" si="4"/>
        <v>11</v>
      </c>
      <c r="D42" s="52">
        <f t="shared" si="5"/>
        <v>22</v>
      </c>
      <c r="E42" s="52">
        <f t="shared" si="9"/>
        <v>66</v>
      </c>
      <c r="F42" s="67">
        <f t="shared" si="12"/>
        <v>52</v>
      </c>
      <c r="G42" s="52">
        <f t="shared" si="13"/>
        <v>457.75</v>
      </c>
      <c r="H42" s="52">
        <f t="shared" si="6"/>
        <v>1373.25</v>
      </c>
      <c r="I42" s="52">
        <f t="shared" si="7"/>
        <v>915.5</v>
      </c>
      <c r="J42" s="69">
        <f t="shared" si="10"/>
        <v>12311.299999999997</v>
      </c>
      <c r="K42" s="70">
        <f t="shared" si="14"/>
        <v>32</v>
      </c>
      <c r="L42" s="132"/>
      <c r="M42" s="38">
        <f>Characters!$F$13+((Characters!$M$13 )*(Floor!$F42-1))</f>
        <v>3210</v>
      </c>
      <c r="N42" s="39">
        <f>Characters!$F$14+((Characters!$M$14 )*(Floor!F42-1))</f>
        <v>3210</v>
      </c>
      <c r="O42" s="39">
        <f>Characters!$F$15+((Characters!$M$15 )*(Floor!$F42-1))</f>
        <v>3210</v>
      </c>
      <c r="P42" s="39">
        <f>Characters!$F$16+((Characters!$M$16 )*(Floor!$F42-1))</f>
        <v>3210</v>
      </c>
      <c r="Q42" s="39">
        <f>Characters!$F$17+((Characters!$M$17)*(Floor!$F42-1))</f>
        <v>3210</v>
      </c>
      <c r="R42" s="39">
        <f>Characters!$F$18+((Characters!$M$18 )*(Floor!$F42-1))</f>
        <v>3210</v>
      </c>
      <c r="S42" s="33">
        <f>Characters!$F$19+((Characters!$M$19 )*(Floor!$F42-1))</f>
        <v>3210</v>
      </c>
      <c r="T42" s="38">
        <f>_xlfn.FLOOR.MATH((Characters!$J$13+Characters!$Q$13*(Floor!$F42-1))*5/2)</f>
        <v>402</v>
      </c>
      <c r="U42" s="39">
        <f>_xlfn.FLOOR.MATH((Characters!$J$14+Characters!$Q$14*(Floor!$F42-1))*5/2)</f>
        <v>402</v>
      </c>
      <c r="V42" s="39">
        <f>_xlfn.FLOOR.MATH((Characters!$J$15+Characters!$Q$15*(Floor!$F42-1))*5/2)</f>
        <v>402</v>
      </c>
      <c r="W42" s="39">
        <f>_xlfn.FLOOR.MATH((Characters!$J$16+Characters!$Q$16*(Floor!$F42-1))*5/2)</f>
        <v>402</v>
      </c>
      <c r="X42" s="39">
        <f>_xlfn.FLOOR.MATH((Characters!$J$17+Characters!$Q$17*(Floor!$F42-1))*5/2)</f>
        <v>402</v>
      </c>
      <c r="Y42" s="39">
        <f>_xlfn.FLOOR.MATH((Characters!$J$18+Characters!$Q$18*(Floor!$F42-1))*5/2)</f>
        <v>402</v>
      </c>
      <c r="Z42" s="39">
        <f>_xlfn.FLOOR.MATH((Characters!$J$19+Characters!$Q$19*(Floor!$F42-1))*5/2)</f>
        <v>402</v>
      </c>
      <c r="AA42" s="38">
        <f>_xlfn.FLOOR.MATH((Characters!$G$13+Characters!$N$13*(Floor!$F42-1))*10/2) + _xlfn.FLOOR.MATH((($AI42-1)*Characters!$P$13+Characters!$I$13)*5/2)</f>
        <v>378</v>
      </c>
      <c r="AB42" s="39">
        <f>_xlfn.FLOOR.MATH((Characters!$G$14+Characters!$N$14*(Floor!$F42-1))*10/2) + _xlfn.FLOOR.MATH((($AI42-1)*Characters!$P$14+Characters!$I$14)*5/2)</f>
        <v>378</v>
      </c>
      <c r="AC42" s="39">
        <f>_xlfn.FLOOR.MATH((Characters!$G$15+Characters!$N$15*(Floor!$F42-1))*10/2) + _xlfn.FLOOR.MATH((($AI42-1)*Characters!$P$15+Characters!$I$15)*5/2)</f>
        <v>378</v>
      </c>
      <c r="AD42" s="39">
        <f>_xlfn.FLOOR.MATH((Characters!$G$16+Characters!$N$16*(Floor!$F42-1))*10/2) + _xlfn.FLOOR.MATH((($AI42-1)*Characters!$P$16+Characters!$I$16)*5/2)</f>
        <v>378</v>
      </c>
      <c r="AE42" s="39">
        <f>_xlfn.FLOOR.MATH((Characters!$G$17+Characters!$N$17*(Floor!$F42-1))*10/2) + _xlfn.FLOOR.MATH((($AI42-1)*Characters!$P$17+Characters!$I$17)*5/2)</f>
        <v>378</v>
      </c>
      <c r="AF42" s="39">
        <f>_xlfn.FLOOR.MATH((Characters!$G$18+Characters!$N$18*(Floor!$F42-1))*10/2) + _xlfn.FLOOR.MATH((($AI42-1)*Characters!$P$18+Characters!$I$18)*5/2)</f>
        <v>378</v>
      </c>
      <c r="AG42" s="33">
        <f>_xlfn.FLOOR.MATH((Characters!$G$19+Characters!$N$19*(Floor!$F42-1))*10/2) + _xlfn.FLOOR.MATH((($AI42-1)*Characters!$P$19+Characters!$I$19)*5/2)</f>
        <v>378</v>
      </c>
      <c r="AH42" s="67"/>
      <c r="AI42" s="38">
        <v>35</v>
      </c>
      <c r="AJ42" s="71">
        <f t="shared" si="2"/>
        <v>1227.6399999999999</v>
      </c>
      <c r="AK42" s="105">
        <f t="shared" si="11"/>
        <v>15026.199999999999</v>
      </c>
      <c r="AL42" s="38">
        <f>_xlfn.FLOOR.MATH(($AI42-1)*Characters!$M$7+Characters!$F$7)+$AK$5</f>
        <v>5420</v>
      </c>
      <c r="AM42" s="39">
        <f>_xlfn.FLOOR.MATH(($AI42-1)*Characters!$M$8+Characters!$F$8)+$AK$5</f>
        <v>6150</v>
      </c>
      <c r="AN42" s="39">
        <f>_xlfn.FLOOR.MATH(($AI42-1)*Characters!$M$9+Characters!$F$9)+$AK$5</f>
        <v>5180</v>
      </c>
      <c r="AO42" s="39">
        <f>_xlfn.FLOOR.MATH(($AI42-1)*Characters!$M$10+Characters!$F$10)+$AK$5</f>
        <v>5550</v>
      </c>
      <c r="AP42" s="39">
        <f>_xlfn.FLOOR.MATH(($AI42-1)*Characters!$M$11+Characters!$F$11)+$AK$5</f>
        <v>5180</v>
      </c>
      <c r="AQ42" s="39">
        <f>_xlfn.FLOOR.MATH(($AI42-1)*Characters!$M$12+Characters!$F$12)+$AK$5</f>
        <v>5720</v>
      </c>
      <c r="AR42" s="38">
        <f>_xlfn.FLOOR.MATH((($AI42-1)*Characters!$Q$7+Characters!$J$7+$AK$4)*5/2)</f>
        <v>145</v>
      </c>
      <c r="AS42" s="39">
        <f>_xlfn.FLOOR.MATH((($AI42-1)*Characters!$Q$8+Characters!$J$8+$AK$4)*5/2)</f>
        <v>161</v>
      </c>
      <c r="AT42" s="39">
        <f>_xlfn.FLOOR.MATH((($AI42-1)*Characters!$Q$9+Characters!$J$9+$AK$4)*5/2)</f>
        <v>130</v>
      </c>
      <c r="AU42" s="39">
        <f>_xlfn.FLOOR.MATH((($AI42-1)*Characters!$Q$10+Characters!$J$10+$AK$4)*5/2)</f>
        <v>147</v>
      </c>
      <c r="AV42" s="39">
        <f>_xlfn.FLOOR.MATH((($AI42-1)*Characters!$Q$11+Characters!$J$11+$AK$4)*5/2)</f>
        <v>128</v>
      </c>
      <c r="AW42" s="39">
        <f>_xlfn.FLOOR.MATH((($AI42-1)*Characters!$Q$12+Characters!$J$12+$AK$4)*5/2)</f>
        <v>161</v>
      </c>
      <c r="AX42" s="38">
        <f>_xlfn.FLOOR.MATH((($AI42-1)*Characters!$N$7+Characters!$G$7+$AK$2)*10/2) + _xlfn.FLOOR.MATH((($AI42-1)*Characters!$P$7+Characters!$I$7+$AK$3)*5/2)</f>
        <v>165</v>
      </c>
      <c r="AY42" s="39">
        <f>_xlfn.FLOOR.MATH((($AI42-1)*Characters!$N$8+Characters!$G$8+$AK$2)*10/2) + _xlfn.FLOOR.MATH((($AI42-1)*Characters!$P$8+Characters!$I$8+$AK$3)*5/2)</f>
        <v>233</v>
      </c>
      <c r="AZ42" s="39">
        <f>_xlfn.FLOOR.MATH((($AI42-1)*Characters!$N$9+Characters!$G$9+$AK$2)*10/2) + _xlfn.FLOOR.MATH((($AI42-1)*Characters!$P$9+Characters!$I$9+$AK$3)*5/2)</f>
        <v>94</v>
      </c>
      <c r="BA42" s="39">
        <f>_xlfn.FLOOR.MATH((($AI42-1)*Characters!$N$10+Characters!$G$10+$AK$2)*10/2) + _xlfn.FLOOR.MATH((($AI42-1)*Characters!$P$10+Characters!$I$10+$AK$3)*5/2)</f>
        <v>264</v>
      </c>
      <c r="BB42" s="39">
        <f>_xlfn.FLOOR.MATH((($AI42-1)*Characters!$N$11+Characters!$G$11+$AK$2)*10/2) + _xlfn.FLOOR.MATH((($AI42-1)*Characters!$P$11+Characters!$I$11+$AK$3)*5/2)</f>
        <v>105</v>
      </c>
      <c r="BC42" s="33">
        <f>_xlfn.FLOOR.MATH((($AI42-1)*Characters!$N$12+Characters!$G$12+$AK$2)*10/2) + _xlfn.FLOOR.MATH((($AI42-1)*Characters!$P$12+Characters!$I$12+$AK$3)*5/2)</f>
        <v>250</v>
      </c>
    </row>
    <row r="43" spans="1:55" ht="18" customHeight="1">
      <c r="A43" s="38">
        <v>36</v>
      </c>
      <c r="B43" s="20">
        <f t="shared" si="3"/>
        <v>13</v>
      </c>
      <c r="C43" s="20">
        <f t="shared" si="4"/>
        <v>11</v>
      </c>
      <c r="D43" s="52">
        <f t="shared" si="5"/>
        <v>22</v>
      </c>
      <c r="E43" s="52">
        <f t="shared" si="9"/>
        <v>66</v>
      </c>
      <c r="F43" s="67">
        <f t="shared" si="12"/>
        <v>53</v>
      </c>
      <c r="G43" s="52">
        <f t="shared" si="13"/>
        <v>466.55000000000007</v>
      </c>
      <c r="H43" s="52">
        <f t="shared" si="6"/>
        <v>1399.6500000000003</v>
      </c>
      <c r="I43" s="52">
        <f t="shared" si="7"/>
        <v>933.10000000000014</v>
      </c>
      <c r="J43" s="69">
        <f t="shared" si="10"/>
        <v>13244.399999999998</v>
      </c>
      <c r="K43" s="70">
        <f t="shared" si="14"/>
        <v>33</v>
      </c>
      <c r="L43" s="132"/>
      <c r="M43" s="38">
        <f>Characters!$F$13+((Characters!$M$13 )*(Floor!$F43-1))</f>
        <v>3270</v>
      </c>
      <c r="N43" s="39">
        <f>Characters!$F$14+((Characters!$M$14 )*(Floor!F43-1))</f>
        <v>3270</v>
      </c>
      <c r="O43" s="39">
        <f>Characters!$F$15+((Characters!$M$15 )*(Floor!$F43-1))</f>
        <v>3270</v>
      </c>
      <c r="P43" s="39">
        <f>Characters!$F$16+((Characters!$M$16 )*(Floor!$F43-1))</f>
        <v>3270</v>
      </c>
      <c r="Q43" s="39">
        <f>Characters!$F$17+((Characters!$M$17)*(Floor!$F43-1))</f>
        <v>3270</v>
      </c>
      <c r="R43" s="39">
        <f>Characters!$F$18+((Characters!$M$18 )*(Floor!$F43-1))</f>
        <v>3270</v>
      </c>
      <c r="S43" s="33">
        <f>Characters!$F$19+((Characters!$M$19 )*(Floor!$F43-1))</f>
        <v>3270</v>
      </c>
      <c r="T43" s="38">
        <f>_xlfn.FLOOR.MATH((Characters!$J$13+Characters!$Q$13*(Floor!$F43-1))*5/2)</f>
        <v>410</v>
      </c>
      <c r="U43" s="39">
        <f>_xlfn.FLOOR.MATH((Characters!$J$14+Characters!$Q$14*(Floor!$F43-1))*5/2)</f>
        <v>410</v>
      </c>
      <c r="V43" s="39">
        <f>_xlfn.FLOOR.MATH((Characters!$J$15+Characters!$Q$15*(Floor!$F43-1))*5/2)</f>
        <v>410</v>
      </c>
      <c r="W43" s="39">
        <f>_xlfn.FLOOR.MATH((Characters!$J$16+Characters!$Q$16*(Floor!$F43-1))*5/2)</f>
        <v>410</v>
      </c>
      <c r="X43" s="39">
        <f>_xlfn.FLOOR.MATH((Characters!$J$17+Characters!$Q$17*(Floor!$F43-1))*5/2)</f>
        <v>410</v>
      </c>
      <c r="Y43" s="39">
        <f>_xlfn.FLOOR.MATH((Characters!$J$18+Characters!$Q$18*(Floor!$F43-1))*5/2)</f>
        <v>410</v>
      </c>
      <c r="Z43" s="39">
        <f>_xlfn.FLOOR.MATH((Characters!$J$19+Characters!$Q$19*(Floor!$F43-1))*5/2)</f>
        <v>410</v>
      </c>
      <c r="AA43" s="38">
        <f>_xlfn.FLOOR.MATH((Characters!$G$13+Characters!$N$13*(Floor!$F43-1))*10/2) + _xlfn.FLOOR.MATH((($AI43-1)*Characters!$P$13+Characters!$I$13)*5/2)</f>
        <v>385</v>
      </c>
      <c r="AB43" s="39">
        <f>_xlfn.FLOOR.MATH((Characters!$G$14+Characters!$N$14*(Floor!$F43-1))*10/2) + _xlfn.FLOOR.MATH((($AI43-1)*Characters!$P$14+Characters!$I$14)*5/2)</f>
        <v>385</v>
      </c>
      <c r="AC43" s="39">
        <f>_xlfn.FLOOR.MATH((Characters!$G$15+Characters!$N$15*(Floor!$F43-1))*10/2) + _xlfn.FLOOR.MATH((($AI43-1)*Characters!$P$15+Characters!$I$15)*5/2)</f>
        <v>385</v>
      </c>
      <c r="AD43" s="39">
        <f>_xlfn.FLOOR.MATH((Characters!$G$16+Characters!$N$16*(Floor!$F43-1))*10/2) + _xlfn.FLOOR.MATH((($AI43-1)*Characters!$P$16+Characters!$I$16)*5/2)</f>
        <v>385</v>
      </c>
      <c r="AE43" s="39">
        <f>_xlfn.FLOOR.MATH((Characters!$G$17+Characters!$N$17*(Floor!$F43-1))*10/2) + _xlfn.FLOOR.MATH((($AI43-1)*Characters!$P$17+Characters!$I$17)*5/2)</f>
        <v>385</v>
      </c>
      <c r="AF43" s="39">
        <f>_xlfn.FLOOR.MATH((Characters!$G$18+Characters!$N$18*(Floor!$F43-1))*10/2) + _xlfn.FLOOR.MATH((($AI43-1)*Characters!$P$18+Characters!$I$18)*5/2)</f>
        <v>385</v>
      </c>
      <c r="AG43" s="33">
        <f>_xlfn.FLOOR.MATH((Characters!$G$19+Characters!$N$19*(Floor!$F43-1))*10/2) + _xlfn.FLOOR.MATH((($AI43-1)*Characters!$P$19+Characters!$I$19)*5/2)</f>
        <v>385</v>
      </c>
      <c r="AH43" s="67"/>
      <c r="AI43" s="38">
        <v>36</v>
      </c>
      <c r="AJ43" s="71">
        <f t="shared" si="2"/>
        <v>1298.5999999999999</v>
      </c>
      <c r="AK43" s="105">
        <f t="shared" si="11"/>
        <v>16324.8</v>
      </c>
      <c r="AL43" s="38">
        <f>_xlfn.FLOOR.MATH(($AI43-1)*Characters!$M$7+Characters!$F$7)+$AK$5</f>
        <v>5450</v>
      </c>
      <c r="AM43" s="39">
        <f>_xlfn.FLOOR.MATH(($AI43-1)*Characters!$M$8+Characters!$F$8)+$AK$5</f>
        <v>6200</v>
      </c>
      <c r="AN43" s="39">
        <f>_xlfn.FLOOR.MATH(($AI43-1)*Characters!$M$9+Characters!$F$9)+$AK$5</f>
        <v>5205</v>
      </c>
      <c r="AO43" s="39">
        <f>_xlfn.FLOOR.MATH(($AI43-1)*Characters!$M$10+Characters!$F$10)+$AK$5</f>
        <v>5585</v>
      </c>
      <c r="AP43" s="39">
        <f>_xlfn.FLOOR.MATH(($AI43-1)*Characters!$M$11+Characters!$F$11)+$AK$5</f>
        <v>5205</v>
      </c>
      <c r="AQ43" s="39">
        <f>_xlfn.FLOOR.MATH(($AI43-1)*Characters!$M$12+Characters!$F$12)+$AK$5</f>
        <v>5760</v>
      </c>
      <c r="AR43" s="38">
        <f>_xlfn.FLOOR.MATH((($AI43-1)*Characters!$Q$7+Characters!$J$7+$AK$4)*5/2)</f>
        <v>146</v>
      </c>
      <c r="AS43" s="39">
        <f>_xlfn.FLOOR.MATH((($AI43-1)*Characters!$Q$8+Characters!$J$8+$AK$4)*5/2)</f>
        <v>162</v>
      </c>
      <c r="AT43" s="39">
        <f>_xlfn.FLOOR.MATH((($AI43-1)*Characters!$Q$9+Characters!$J$9+$AK$4)*5/2)</f>
        <v>131</v>
      </c>
      <c r="AU43" s="39">
        <f>_xlfn.FLOOR.MATH((($AI43-1)*Characters!$Q$10+Characters!$J$10+$AK$4)*5/2)</f>
        <v>148</v>
      </c>
      <c r="AV43" s="39">
        <f>_xlfn.FLOOR.MATH((($AI43-1)*Characters!$Q$11+Characters!$J$11+$AK$4)*5/2)</f>
        <v>128</v>
      </c>
      <c r="AW43" s="39">
        <f>_xlfn.FLOOR.MATH((($AI43-1)*Characters!$Q$12+Characters!$J$12+$AK$4)*5/2)</f>
        <v>162</v>
      </c>
      <c r="AX43" s="38">
        <f>_xlfn.FLOOR.MATH((($AI43-1)*Characters!$N$7+Characters!$G$7+$AK$2)*10/2) + _xlfn.FLOOR.MATH((($AI43-1)*Characters!$P$7+Characters!$I$7+$AK$3)*5/2)</f>
        <v>168</v>
      </c>
      <c r="AY43" s="39">
        <f>_xlfn.FLOOR.MATH((($AI43-1)*Characters!$N$8+Characters!$G$8+$AK$2)*10/2) + _xlfn.FLOOR.MATH((($AI43-1)*Characters!$P$8+Characters!$I$8+$AK$3)*5/2)</f>
        <v>237</v>
      </c>
      <c r="AZ43" s="39">
        <f>_xlfn.FLOOR.MATH((($AI43-1)*Characters!$N$9+Characters!$G$9+$AK$2)*10/2) + _xlfn.FLOOR.MATH((($AI43-1)*Characters!$P$9+Characters!$I$9+$AK$3)*5/2)</f>
        <v>96</v>
      </c>
      <c r="BA43" s="39">
        <f>_xlfn.FLOOR.MATH((($AI43-1)*Characters!$N$10+Characters!$G$10+$AK$2)*10/2) + _xlfn.FLOOR.MATH((($AI43-1)*Characters!$P$10+Characters!$I$10+$AK$3)*5/2)</f>
        <v>269</v>
      </c>
      <c r="BB43" s="39">
        <f>_xlfn.FLOOR.MATH((($AI43-1)*Characters!$N$11+Characters!$G$11+$AK$2)*10/2) + _xlfn.FLOOR.MATH((($AI43-1)*Characters!$P$11+Characters!$I$11+$AK$3)*5/2)</f>
        <v>107</v>
      </c>
      <c r="BC43" s="33">
        <f>_xlfn.FLOOR.MATH((($AI43-1)*Characters!$N$12+Characters!$G$12+$AK$2)*10/2) + _xlfn.FLOOR.MATH((($AI43-1)*Characters!$P$12+Characters!$I$12+$AK$3)*5/2)</f>
        <v>255</v>
      </c>
    </row>
    <row r="44" spans="1:55" ht="18" customHeight="1">
      <c r="A44" s="38">
        <v>37</v>
      </c>
      <c r="B44" s="20">
        <f t="shared" si="3"/>
        <v>13</v>
      </c>
      <c r="C44" s="20">
        <f t="shared" si="4"/>
        <v>11</v>
      </c>
      <c r="D44" s="52">
        <f t="shared" si="5"/>
        <v>22</v>
      </c>
      <c r="E44" s="52">
        <f t="shared" si="9"/>
        <v>66</v>
      </c>
      <c r="F44" s="67">
        <f t="shared" si="12"/>
        <v>55</v>
      </c>
      <c r="G44" s="52">
        <f t="shared" si="13"/>
        <v>484.15</v>
      </c>
      <c r="H44" s="52">
        <f t="shared" si="6"/>
        <v>1452.4499999999998</v>
      </c>
      <c r="I44" s="52">
        <f t="shared" si="7"/>
        <v>968.3</v>
      </c>
      <c r="J44" s="69">
        <f t="shared" si="10"/>
        <v>14212.699999999997</v>
      </c>
      <c r="K44" s="70">
        <f t="shared" si="14"/>
        <v>34</v>
      </c>
      <c r="L44" s="132"/>
      <c r="M44" s="38">
        <f>Characters!$F$13+((Characters!$M$13 )*(Floor!$F44-1))</f>
        <v>3390</v>
      </c>
      <c r="N44" s="39">
        <f>Characters!$F$14+((Characters!$M$14 )*(Floor!F44-1))</f>
        <v>3390</v>
      </c>
      <c r="O44" s="39">
        <f>Characters!$F$15+((Characters!$M$15 )*(Floor!$F44-1))</f>
        <v>3390</v>
      </c>
      <c r="P44" s="39">
        <f>Characters!$F$16+((Characters!$M$16 )*(Floor!$F44-1))</f>
        <v>3390</v>
      </c>
      <c r="Q44" s="39">
        <f>Characters!$F$17+((Characters!$M$17)*(Floor!$F44-1))</f>
        <v>3390</v>
      </c>
      <c r="R44" s="39">
        <f>Characters!$F$18+((Characters!$M$18 )*(Floor!$F44-1))</f>
        <v>3390</v>
      </c>
      <c r="S44" s="33">
        <f>Characters!$F$19+((Characters!$M$19 )*(Floor!$F44-1))</f>
        <v>3390</v>
      </c>
      <c r="T44" s="38">
        <f>_xlfn.FLOOR.MATH((Characters!$J$13+Characters!$Q$13*(Floor!$F44-1))*5/2)</f>
        <v>425</v>
      </c>
      <c r="U44" s="39">
        <f>_xlfn.FLOOR.MATH((Characters!$J$14+Characters!$Q$14*(Floor!$F44-1))*5/2)</f>
        <v>425</v>
      </c>
      <c r="V44" s="39">
        <f>_xlfn.FLOOR.MATH((Characters!$J$15+Characters!$Q$15*(Floor!$F44-1))*5/2)</f>
        <v>425</v>
      </c>
      <c r="W44" s="39">
        <f>_xlfn.FLOOR.MATH((Characters!$J$16+Characters!$Q$16*(Floor!$F44-1))*5/2)</f>
        <v>425</v>
      </c>
      <c r="X44" s="39">
        <f>_xlfn.FLOOR.MATH((Characters!$J$17+Characters!$Q$17*(Floor!$F44-1))*5/2)</f>
        <v>425</v>
      </c>
      <c r="Y44" s="39">
        <f>_xlfn.FLOOR.MATH((Characters!$J$18+Characters!$Q$18*(Floor!$F44-1))*5/2)</f>
        <v>425</v>
      </c>
      <c r="Z44" s="39">
        <f>_xlfn.FLOOR.MATH((Characters!$J$19+Characters!$Q$19*(Floor!$F44-1))*5/2)</f>
        <v>425</v>
      </c>
      <c r="AA44" s="38">
        <f>_xlfn.FLOOR.MATH((Characters!$G$13+Characters!$N$13*(Floor!$F44-1))*10/2) + _xlfn.FLOOR.MATH((($AI44-1)*Characters!$P$13+Characters!$I$13)*5/2)</f>
        <v>399</v>
      </c>
      <c r="AB44" s="39">
        <f>_xlfn.FLOOR.MATH((Characters!$G$14+Characters!$N$14*(Floor!$F44-1))*10/2) + _xlfn.FLOOR.MATH((($AI44-1)*Characters!$P$14+Characters!$I$14)*5/2)</f>
        <v>399</v>
      </c>
      <c r="AC44" s="39">
        <f>_xlfn.FLOOR.MATH((Characters!$G$15+Characters!$N$15*(Floor!$F44-1))*10/2) + _xlfn.FLOOR.MATH((($AI44-1)*Characters!$P$15+Characters!$I$15)*5/2)</f>
        <v>399</v>
      </c>
      <c r="AD44" s="39">
        <f>_xlfn.FLOOR.MATH((Characters!$G$16+Characters!$N$16*(Floor!$F44-1))*10/2) + _xlfn.FLOOR.MATH((($AI44-1)*Characters!$P$16+Characters!$I$16)*5/2)</f>
        <v>399</v>
      </c>
      <c r="AE44" s="39">
        <f>_xlfn.FLOOR.MATH((Characters!$G$17+Characters!$N$17*(Floor!$F44-1))*10/2) + _xlfn.FLOOR.MATH((($AI44-1)*Characters!$P$17+Characters!$I$17)*5/2)</f>
        <v>399</v>
      </c>
      <c r="AF44" s="39">
        <f>_xlfn.FLOOR.MATH((Characters!$G$18+Characters!$N$18*(Floor!$F44-1))*10/2) + _xlfn.FLOOR.MATH((($AI44-1)*Characters!$P$18+Characters!$I$18)*5/2)</f>
        <v>399</v>
      </c>
      <c r="AG44" s="33">
        <f>_xlfn.FLOOR.MATH((Characters!$G$19+Characters!$N$19*(Floor!$F44-1))*10/2) + _xlfn.FLOOR.MATH((($AI44-1)*Characters!$P$19+Characters!$I$19)*5/2)</f>
        <v>399</v>
      </c>
      <c r="AH44" s="67"/>
      <c r="AI44" s="38">
        <v>37</v>
      </c>
      <c r="AJ44" s="71">
        <f t="shared" si="2"/>
        <v>1371.56</v>
      </c>
      <c r="AK44" s="105">
        <f t="shared" si="11"/>
        <v>17696.36</v>
      </c>
      <c r="AL44" s="38">
        <f>_xlfn.FLOOR.MATH(($AI44-1)*Characters!$M$7+Characters!$F$7)+$AK$5</f>
        <v>5480</v>
      </c>
      <c r="AM44" s="39">
        <f>_xlfn.FLOOR.MATH(($AI44-1)*Characters!$M$8+Characters!$F$8)+$AK$5</f>
        <v>6250</v>
      </c>
      <c r="AN44" s="39">
        <f>_xlfn.FLOOR.MATH(($AI44-1)*Characters!$M$9+Characters!$F$9)+$AK$5</f>
        <v>5230</v>
      </c>
      <c r="AO44" s="39">
        <f>_xlfn.FLOOR.MATH(($AI44-1)*Characters!$M$10+Characters!$F$10)+$AK$5</f>
        <v>5620</v>
      </c>
      <c r="AP44" s="39">
        <f>_xlfn.FLOOR.MATH(($AI44-1)*Characters!$M$11+Characters!$F$11)+$AK$5</f>
        <v>5230</v>
      </c>
      <c r="AQ44" s="39">
        <f>_xlfn.FLOOR.MATH(($AI44-1)*Characters!$M$12+Characters!$F$12)+$AK$5</f>
        <v>5800</v>
      </c>
      <c r="AR44" s="38">
        <f>_xlfn.FLOOR.MATH((($AI44-1)*Characters!$Q$7+Characters!$J$7+$AK$4)*5/2)</f>
        <v>147</v>
      </c>
      <c r="AS44" s="39">
        <f>_xlfn.FLOOR.MATH((($AI44-1)*Characters!$Q$8+Characters!$J$8+$AK$4)*5/2)</f>
        <v>164</v>
      </c>
      <c r="AT44" s="39">
        <f>_xlfn.FLOOR.MATH((($AI44-1)*Characters!$Q$9+Characters!$J$9+$AK$4)*5/2)</f>
        <v>132</v>
      </c>
      <c r="AU44" s="39">
        <f>_xlfn.FLOOR.MATH((($AI44-1)*Characters!$Q$10+Characters!$J$10+$AK$4)*5/2)</f>
        <v>150</v>
      </c>
      <c r="AV44" s="39">
        <f>_xlfn.FLOOR.MATH((($AI44-1)*Characters!$Q$11+Characters!$J$11+$AK$4)*5/2)</f>
        <v>129</v>
      </c>
      <c r="AW44" s="39">
        <f>_xlfn.FLOOR.MATH((($AI44-1)*Characters!$Q$12+Characters!$J$12+$AK$4)*5/2)</f>
        <v>164</v>
      </c>
      <c r="AX44" s="38">
        <f>_xlfn.FLOOR.MATH((($AI44-1)*Characters!$N$7+Characters!$G$7+$AK$2)*10/2) + _xlfn.FLOOR.MATH((($AI44-1)*Characters!$P$7+Characters!$I$7+$AK$3)*5/2)</f>
        <v>172</v>
      </c>
      <c r="AY44" s="39">
        <f>_xlfn.FLOOR.MATH((($AI44-1)*Characters!$N$8+Characters!$G$8+$AK$2)*10/2) + _xlfn.FLOOR.MATH((($AI44-1)*Characters!$P$8+Characters!$I$8+$AK$3)*5/2)</f>
        <v>242</v>
      </c>
      <c r="AZ44" s="39">
        <f>_xlfn.FLOOR.MATH((($AI44-1)*Characters!$N$9+Characters!$G$9+$AK$2)*10/2) + _xlfn.FLOOR.MATH((($AI44-1)*Characters!$P$9+Characters!$I$9+$AK$3)*5/2)</f>
        <v>98</v>
      </c>
      <c r="BA44" s="39">
        <f>_xlfn.FLOOR.MATH((($AI44-1)*Characters!$N$10+Characters!$G$10+$AK$2)*10/2) + _xlfn.FLOOR.MATH((($AI44-1)*Characters!$P$10+Characters!$I$10+$AK$3)*5/2)</f>
        <v>275</v>
      </c>
      <c r="BB44" s="39">
        <f>_xlfn.FLOOR.MATH((($AI44-1)*Characters!$N$11+Characters!$G$11+$AK$2)*10/2) + _xlfn.FLOOR.MATH((($AI44-1)*Characters!$P$11+Characters!$I$11+$AK$3)*5/2)</f>
        <v>109</v>
      </c>
      <c r="BC44" s="33">
        <f>_xlfn.FLOOR.MATH((($AI44-1)*Characters!$N$12+Characters!$G$12+$AK$2)*10/2) + _xlfn.FLOOR.MATH((($AI44-1)*Characters!$P$12+Characters!$I$12+$AK$3)*5/2)</f>
        <v>260</v>
      </c>
    </row>
    <row r="45" spans="1:55" ht="18" customHeight="1">
      <c r="A45" s="38">
        <v>38</v>
      </c>
      <c r="B45" s="20">
        <f t="shared" si="3"/>
        <v>13</v>
      </c>
      <c r="C45" s="20">
        <f t="shared" si="4"/>
        <v>11</v>
      </c>
      <c r="D45" s="52">
        <f t="shared" si="5"/>
        <v>22</v>
      </c>
      <c r="E45" s="52">
        <f t="shared" si="9"/>
        <v>66</v>
      </c>
      <c r="F45" s="67">
        <f t="shared" si="12"/>
        <v>56</v>
      </c>
      <c r="G45" s="52">
        <f t="shared" si="13"/>
        <v>492.95000000000005</v>
      </c>
      <c r="H45" s="52">
        <f t="shared" si="6"/>
        <v>1478.8500000000001</v>
      </c>
      <c r="I45" s="52">
        <f t="shared" si="7"/>
        <v>985.90000000000009</v>
      </c>
      <c r="J45" s="69">
        <f t="shared" si="10"/>
        <v>15198.599999999997</v>
      </c>
      <c r="K45" s="70">
        <f t="shared" si="14"/>
        <v>35</v>
      </c>
      <c r="L45" s="132"/>
      <c r="M45" s="38">
        <f>Characters!$F$13+((Characters!$M$13 )*(Floor!$F45-1))</f>
        <v>3450</v>
      </c>
      <c r="N45" s="39">
        <f>Characters!$F$14+((Characters!$M$14 )*(Floor!F45-1))</f>
        <v>3450</v>
      </c>
      <c r="O45" s="39">
        <f>Characters!$F$15+((Characters!$M$15 )*(Floor!$F45-1))</f>
        <v>3450</v>
      </c>
      <c r="P45" s="39">
        <f>Characters!$F$16+((Characters!$M$16 )*(Floor!$F45-1))</f>
        <v>3450</v>
      </c>
      <c r="Q45" s="39">
        <f>Characters!$F$17+((Characters!$M$17)*(Floor!$F45-1))</f>
        <v>3450</v>
      </c>
      <c r="R45" s="39">
        <f>Characters!$F$18+((Characters!$M$18 )*(Floor!$F45-1))</f>
        <v>3450</v>
      </c>
      <c r="S45" s="33">
        <f>Characters!$F$19+((Characters!$M$19 )*(Floor!$F45-1))</f>
        <v>3450</v>
      </c>
      <c r="T45" s="38">
        <f>_xlfn.FLOOR.MATH((Characters!$J$13+Characters!$Q$13*(Floor!$F45-1))*5/2)</f>
        <v>432</v>
      </c>
      <c r="U45" s="39">
        <f>_xlfn.FLOOR.MATH((Characters!$J$14+Characters!$Q$14*(Floor!$F45-1))*5/2)</f>
        <v>432</v>
      </c>
      <c r="V45" s="39">
        <f>_xlfn.FLOOR.MATH((Characters!$J$15+Characters!$Q$15*(Floor!$F45-1))*5/2)</f>
        <v>432</v>
      </c>
      <c r="W45" s="39">
        <f>_xlfn.FLOOR.MATH((Characters!$J$16+Characters!$Q$16*(Floor!$F45-1))*5/2)</f>
        <v>432</v>
      </c>
      <c r="X45" s="39">
        <f>_xlfn.FLOOR.MATH((Characters!$J$17+Characters!$Q$17*(Floor!$F45-1))*5/2)</f>
        <v>432</v>
      </c>
      <c r="Y45" s="39">
        <f>_xlfn.FLOOR.MATH((Characters!$J$18+Characters!$Q$18*(Floor!$F45-1))*5/2)</f>
        <v>432</v>
      </c>
      <c r="Z45" s="39">
        <f>_xlfn.FLOOR.MATH((Characters!$J$19+Characters!$Q$19*(Floor!$F45-1))*5/2)</f>
        <v>432</v>
      </c>
      <c r="AA45" s="38">
        <f>_xlfn.FLOOR.MATH((Characters!$G$13+Characters!$N$13*(Floor!$F45-1))*10/2) + _xlfn.FLOOR.MATH((($AI45-1)*Characters!$P$13+Characters!$I$13)*5/2)</f>
        <v>406</v>
      </c>
      <c r="AB45" s="39">
        <f>_xlfn.FLOOR.MATH((Characters!$G$14+Characters!$N$14*(Floor!$F45-1))*10/2) + _xlfn.FLOOR.MATH((($AI45-1)*Characters!$P$14+Characters!$I$14)*5/2)</f>
        <v>406</v>
      </c>
      <c r="AC45" s="39">
        <f>_xlfn.FLOOR.MATH((Characters!$G$15+Characters!$N$15*(Floor!$F45-1))*10/2) + _xlfn.FLOOR.MATH((($AI45-1)*Characters!$P$15+Characters!$I$15)*5/2)</f>
        <v>406</v>
      </c>
      <c r="AD45" s="39">
        <f>_xlfn.FLOOR.MATH((Characters!$G$16+Characters!$N$16*(Floor!$F45-1))*10/2) + _xlfn.FLOOR.MATH((($AI45-1)*Characters!$P$16+Characters!$I$16)*5/2)</f>
        <v>406</v>
      </c>
      <c r="AE45" s="39">
        <f>_xlfn.FLOOR.MATH((Characters!$G$17+Characters!$N$17*(Floor!$F45-1))*10/2) + _xlfn.FLOOR.MATH((($AI45-1)*Characters!$P$17+Characters!$I$17)*5/2)</f>
        <v>406</v>
      </c>
      <c r="AF45" s="39">
        <f>_xlfn.FLOOR.MATH((Characters!$G$18+Characters!$N$18*(Floor!$F45-1))*10/2) + _xlfn.FLOOR.MATH((($AI45-1)*Characters!$P$18+Characters!$I$18)*5/2)</f>
        <v>406</v>
      </c>
      <c r="AG45" s="33">
        <f>_xlfn.FLOOR.MATH((Characters!$G$19+Characters!$N$19*(Floor!$F45-1))*10/2) + _xlfn.FLOOR.MATH((($AI45-1)*Characters!$P$19+Characters!$I$19)*5/2)</f>
        <v>406</v>
      </c>
      <c r="AH45" s="67"/>
      <c r="AI45" s="38">
        <v>38</v>
      </c>
      <c r="AJ45" s="71">
        <f t="shared" si="2"/>
        <v>1446.52</v>
      </c>
      <c r="AK45" s="105">
        <f t="shared" si="11"/>
        <v>19142.88</v>
      </c>
      <c r="AL45" s="38">
        <f>_xlfn.FLOOR.MATH(($AI45-1)*Characters!$M$7+Characters!$F$7)+$AK$5</f>
        <v>5510</v>
      </c>
      <c r="AM45" s="39">
        <f>_xlfn.FLOOR.MATH(($AI45-1)*Characters!$M$8+Characters!$F$8)+$AK$5</f>
        <v>6300</v>
      </c>
      <c r="AN45" s="39">
        <f>_xlfn.FLOOR.MATH(($AI45-1)*Characters!$M$9+Characters!$F$9)+$AK$5</f>
        <v>5255</v>
      </c>
      <c r="AO45" s="39">
        <f>_xlfn.FLOOR.MATH(($AI45-1)*Characters!$M$10+Characters!$F$10)+$AK$5</f>
        <v>5655</v>
      </c>
      <c r="AP45" s="39">
        <f>_xlfn.FLOOR.MATH(($AI45-1)*Characters!$M$11+Characters!$F$11)+$AK$5</f>
        <v>5255</v>
      </c>
      <c r="AQ45" s="39">
        <f>_xlfn.FLOOR.MATH(($AI45-1)*Characters!$M$12+Characters!$F$12)+$AK$5</f>
        <v>5840</v>
      </c>
      <c r="AR45" s="38">
        <f>_xlfn.FLOOR.MATH((($AI45-1)*Characters!$Q$7+Characters!$J$7+$AK$4)*5/2)</f>
        <v>148</v>
      </c>
      <c r="AS45" s="39">
        <f>_xlfn.FLOOR.MATH((($AI45-1)*Characters!$Q$8+Characters!$J$8+$AK$4)*5/2)</f>
        <v>165</v>
      </c>
      <c r="AT45" s="39">
        <f>_xlfn.FLOOR.MATH((($AI45-1)*Characters!$Q$9+Characters!$J$9+$AK$4)*5/2)</f>
        <v>132</v>
      </c>
      <c r="AU45" s="39">
        <f>_xlfn.FLOOR.MATH((($AI45-1)*Characters!$Q$10+Characters!$J$10+$AK$4)*5/2)</f>
        <v>151</v>
      </c>
      <c r="AV45" s="39">
        <f>_xlfn.FLOOR.MATH((($AI45-1)*Characters!$Q$11+Characters!$J$11+$AK$4)*5/2)</f>
        <v>130</v>
      </c>
      <c r="AW45" s="39">
        <f>_xlfn.FLOOR.MATH((($AI45-1)*Characters!$Q$12+Characters!$J$12+$AK$4)*5/2)</f>
        <v>165</v>
      </c>
      <c r="AX45" s="38">
        <f>_xlfn.FLOOR.MATH((($AI45-1)*Characters!$N$7+Characters!$G$7+$AK$2)*10/2) + _xlfn.FLOOR.MATH((($AI45-1)*Characters!$P$7+Characters!$I$7+$AK$3)*5/2)</f>
        <v>175</v>
      </c>
      <c r="AY45" s="39">
        <f>_xlfn.FLOOR.MATH((($AI45-1)*Characters!$N$8+Characters!$G$8+$AK$2)*10/2) + _xlfn.FLOOR.MATH((($AI45-1)*Characters!$P$8+Characters!$I$8+$AK$3)*5/2)</f>
        <v>246</v>
      </c>
      <c r="AZ45" s="39">
        <f>_xlfn.FLOOR.MATH((($AI45-1)*Characters!$N$9+Characters!$G$9+$AK$2)*10/2) + _xlfn.FLOOR.MATH((($AI45-1)*Characters!$P$9+Characters!$I$9+$AK$3)*5/2)</f>
        <v>99</v>
      </c>
      <c r="BA45" s="39">
        <f>_xlfn.FLOOR.MATH((($AI45-1)*Characters!$N$10+Characters!$G$10+$AK$2)*10/2) + _xlfn.FLOOR.MATH((($AI45-1)*Characters!$P$10+Characters!$I$10+$AK$3)*5/2)</f>
        <v>280</v>
      </c>
      <c r="BB45" s="39">
        <f>_xlfn.FLOOR.MATH((($AI45-1)*Characters!$N$11+Characters!$G$11+$AK$2)*10/2) + _xlfn.FLOOR.MATH((($AI45-1)*Characters!$P$11+Characters!$I$11+$AK$3)*5/2)</f>
        <v>111</v>
      </c>
      <c r="BC45" s="33">
        <f>_xlfn.FLOOR.MATH((($AI45-1)*Characters!$N$12+Characters!$G$12+$AK$2)*10/2) + _xlfn.FLOOR.MATH((($AI45-1)*Characters!$P$12+Characters!$I$12+$AK$3)*5/2)</f>
        <v>265</v>
      </c>
    </row>
    <row r="46" spans="1:55" ht="18" customHeight="1">
      <c r="A46" s="38">
        <v>39</v>
      </c>
      <c r="B46" s="20">
        <f t="shared" si="3"/>
        <v>13</v>
      </c>
      <c r="C46" s="20">
        <f t="shared" si="4"/>
        <v>11</v>
      </c>
      <c r="D46" s="52">
        <f t="shared" si="5"/>
        <v>22</v>
      </c>
      <c r="E46" s="52">
        <f t="shared" si="9"/>
        <v>66</v>
      </c>
      <c r="F46" s="67">
        <f t="shared" si="12"/>
        <v>58</v>
      </c>
      <c r="G46" s="52">
        <f t="shared" si="13"/>
        <v>510.55000000000007</v>
      </c>
      <c r="H46" s="52">
        <f t="shared" si="6"/>
        <v>1531.6500000000003</v>
      </c>
      <c r="I46" s="52">
        <f t="shared" si="7"/>
        <v>1021.1000000000001</v>
      </c>
      <c r="J46" s="69">
        <f t="shared" si="10"/>
        <v>16219.699999999997</v>
      </c>
      <c r="K46" s="70">
        <f t="shared" si="14"/>
        <v>35</v>
      </c>
      <c r="L46" s="132"/>
      <c r="M46" s="38">
        <f>Characters!$F$13+((Characters!$M$13 )*(Floor!$F46-1))</f>
        <v>3570</v>
      </c>
      <c r="N46" s="39">
        <f>Characters!$F$14+((Characters!$M$14 )*(Floor!F46-1))</f>
        <v>3570</v>
      </c>
      <c r="O46" s="39">
        <f>Characters!$F$15+((Characters!$M$15 )*(Floor!$F46-1))</f>
        <v>3570</v>
      </c>
      <c r="P46" s="39">
        <f>Characters!$F$16+((Characters!$M$16 )*(Floor!$F46-1))</f>
        <v>3570</v>
      </c>
      <c r="Q46" s="39">
        <f>Characters!$F$17+((Characters!$M$17)*(Floor!$F46-1))</f>
        <v>3570</v>
      </c>
      <c r="R46" s="39">
        <f>Characters!$F$18+((Characters!$M$18 )*(Floor!$F46-1))</f>
        <v>3570</v>
      </c>
      <c r="S46" s="33">
        <f>Characters!$F$19+((Characters!$M$19 )*(Floor!$F46-1))</f>
        <v>3570</v>
      </c>
      <c r="T46" s="38">
        <f>_xlfn.FLOOR.MATH((Characters!$J$13+Characters!$Q$13*(Floor!$F46-1))*5/2)</f>
        <v>447</v>
      </c>
      <c r="U46" s="39">
        <f>_xlfn.FLOOR.MATH((Characters!$J$14+Characters!$Q$14*(Floor!$F46-1))*5/2)</f>
        <v>447</v>
      </c>
      <c r="V46" s="39">
        <f>_xlfn.FLOOR.MATH((Characters!$J$15+Characters!$Q$15*(Floor!$F46-1))*5/2)</f>
        <v>447</v>
      </c>
      <c r="W46" s="39">
        <f>_xlfn.FLOOR.MATH((Characters!$J$16+Characters!$Q$16*(Floor!$F46-1))*5/2)</f>
        <v>447</v>
      </c>
      <c r="X46" s="39">
        <f>_xlfn.FLOOR.MATH((Characters!$J$17+Characters!$Q$17*(Floor!$F46-1))*5/2)</f>
        <v>447</v>
      </c>
      <c r="Y46" s="39">
        <f>_xlfn.FLOOR.MATH((Characters!$J$18+Characters!$Q$18*(Floor!$F46-1))*5/2)</f>
        <v>447</v>
      </c>
      <c r="Z46" s="39">
        <f>_xlfn.FLOOR.MATH((Characters!$J$19+Characters!$Q$19*(Floor!$F46-1))*5/2)</f>
        <v>447</v>
      </c>
      <c r="AA46" s="38">
        <f>_xlfn.FLOOR.MATH((Characters!$G$13+Characters!$N$13*(Floor!$F46-1))*10/2) + _xlfn.FLOOR.MATH((($AI46-1)*Characters!$P$13+Characters!$I$13)*5/2)</f>
        <v>419</v>
      </c>
      <c r="AB46" s="39">
        <f>_xlfn.FLOOR.MATH((Characters!$G$14+Characters!$N$14*(Floor!$F46-1))*10/2) + _xlfn.FLOOR.MATH((($AI46-1)*Characters!$P$14+Characters!$I$14)*5/2)</f>
        <v>419</v>
      </c>
      <c r="AC46" s="39">
        <f>_xlfn.FLOOR.MATH((Characters!$G$15+Characters!$N$15*(Floor!$F46-1))*10/2) + _xlfn.FLOOR.MATH((($AI46-1)*Characters!$P$15+Characters!$I$15)*5/2)</f>
        <v>419</v>
      </c>
      <c r="AD46" s="39">
        <f>_xlfn.FLOOR.MATH((Characters!$G$16+Characters!$N$16*(Floor!$F46-1))*10/2) + _xlfn.FLOOR.MATH((($AI46-1)*Characters!$P$16+Characters!$I$16)*5/2)</f>
        <v>419</v>
      </c>
      <c r="AE46" s="39">
        <f>_xlfn.FLOOR.MATH((Characters!$G$17+Characters!$N$17*(Floor!$F46-1))*10/2) + _xlfn.FLOOR.MATH((($AI46-1)*Characters!$P$17+Characters!$I$17)*5/2)</f>
        <v>419</v>
      </c>
      <c r="AF46" s="39">
        <f>_xlfn.FLOOR.MATH((Characters!$G$18+Characters!$N$18*(Floor!$F46-1))*10/2) + _xlfn.FLOOR.MATH((($AI46-1)*Characters!$P$18+Characters!$I$18)*5/2)</f>
        <v>419</v>
      </c>
      <c r="AG46" s="33">
        <f>_xlfn.FLOOR.MATH((Characters!$G$19+Characters!$N$19*(Floor!$F46-1))*10/2) + _xlfn.FLOOR.MATH((($AI46-1)*Characters!$P$19+Characters!$I$19)*5/2)</f>
        <v>419</v>
      </c>
      <c r="AH46" s="67"/>
      <c r="AI46" s="38">
        <v>39</v>
      </c>
      <c r="AJ46" s="71">
        <f t="shared" si="2"/>
        <v>1523.48</v>
      </c>
      <c r="AK46" s="105">
        <f t="shared" si="11"/>
        <v>20666.36</v>
      </c>
      <c r="AL46" s="38">
        <f>_xlfn.FLOOR.MATH(($AI46-1)*Characters!$M$7+Characters!$F$7)+$AK$5</f>
        <v>5540</v>
      </c>
      <c r="AM46" s="39">
        <f>_xlfn.FLOOR.MATH(($AI46-1)*Characters!$M$8+Characters!$F$8)+$AK$5</f>
        <v>6350</v>
      </c>
      <c r="AN46" s="39">
        <f>_xlfn.FLOOR.MATH(($AI46-1)*Characters!$M$9+Characters!$F$9)+$AK$5</f>
        <v>5280</v>
      </c>
      <c r="AO46" s="39">
        <f>_xlfn.FLOOR.MATH(($AI46-1)*Characters!$M$10+Characters!$F$10)+$AK$5</f>
        <v>5690</v>
      </c>
      <c r="AP46" s="39">
        <f>_xlfn.FLOOR.MATH(($AI46-1)*Characters!$M$11+Characters!$F$11)+$AK$5</f>
        <v>5280</v>
      </c>
      <c r="AQ46" s="39">
        <f>_xlfn.FLOOR.MATH(($AI46-1)*Characters!$M$12+Characters!$F$12)+$AK$5</f>
        <v>5880</v>
      </c>
      <c r="AR46" s="38">
        <f>_xlfn.FLOOR.MATH((($AI46-1)*Characters!$Q$7+Characters!$J$7+$AK$4)*5/2)</f>
        <v>150</v>
      </c>
      <c r="AS46" s="39">
        <f>_xlfn.FLOOR.MATH((($AI46-1)*Characters!$Q$8+Characters!$J$8+$AK$4)*5/2)</f>
        <v>167</v>
      </c>
      <c r="AT46" s="39">
        <f>_xlfn.FLOOR.MATH((($AI46-1)*Characters!$Q$9+Characters!$J$9+$AK$4)*5/2)</f>
        <v>133</v>
      </c>
      <c r="AU46" s="39">
        <f>_xlfn.FLOOR.MATH((($AI46-1)*Characters!$Q$10+Characters!$J$10+$AK$4)*5/2)</f>
        <v>152</v>
      </c>
      <c r="AV46" s="39">
        <f>_xlfn.FLOOR.MATH((($AI46-1)*Characters!$Q$11+Characters!$J$11+$AK$4)*5/2)</f>
        <v>131</v>
      </c>
      <c r="AW46" s="39">
        <f>_xlfn.FLOOR.MATH((($AI46-1)*Characters!$Q$12+Characters!$J$12+$AK$4)*5/2)</f>
        <v>167</v>
      </c>
      <c r="AX46" s="38">
        <f>_xlfn.FLOOR.MATH((($AI46-1)*Characters!$N$7+Characters!$G$7+$AK$2)*10/2) + _xlfn.FLOOR.MATH((($AI46-1)*Characters!$P$7+Characters!$I$7+$AK$3)*5/2)</f>
        <v>180</v>
      </c>
      <c r="AY46" s="39">
        <f>_xlfn.FLOOR.MATH((($AI46-1)*Characters!$N$8+Characters!$G$8+$AK$2)*10/2) + _xlfn.FLOOR.MATH((($AI46-1)*Characters!$P$8+Characters!$I$8+$AK$3)*5/2)</f>
        <v>251</v>
      </c>
      <c r="AZ46" s="39">
        <f>_xlfn.FLOOR.MATH((($AI46-1)*Characters!$N$9+Characters!$G$9+$AK$2)*10/2) + _xlfn.FLOOR.MATH((($AI46-1)*Characters!$P$9+Characters!$I$9+$AK$3)*5/2)</f>
        <v>101</v>
      </c>
      <c r="BA46" s="39">
        <f>_xlfn.FLOOR.MATH((($AI46-1)*Characters!$N$10+Characters!$G$10+$AK$2)*10/2) + _xlfn.FLOOR.MATH((($AI46-1)*Characters!$P$10+Characters!$I$10+$AK$3)*5/2)</f>
        <v>286</v>
      </c>
      <c r="BB46" s="39">
        <f>_xlfn.FLOOR.MATH((($AI46-1)*Characters!$N$11+Characters!$G$11+$AK$2)*10/2) + _xlfn.FLOOR.MATH((($AI46-1)*Characters!$P$11+Characters!$I$11+$AK$3)*5/2)</f>
        <v>113</v>
      </c>
      <c r="BC46" s="33">
        <f>_xlfn.FLOOR.MATH((($AI46-1)*Characters!$N$12+Characters!$G$12+$AK$2)*10/2) + _xlfn.FLOOR.MATH((($AI46-1)*Characters!$P$12+Characters!$I$12+$AK$3)*5/2)</f>
        <v>270</v>
      </c>
    </row>
    <row r="47" spans="1:55" ht="18" customHeight="1">
      <c r="A47" s="38">
        <v>40</v>
      </c>
      <c r="B47" s="20">
        <f t="shared" si="3"/>
        <v>14</v>
      </c>
      <c r="C47" s="20">
        <f t="shared" si="4"/>
        <v>12</v>
      </c>
      <c r="D47" s="52">
        <f t="shared" si="5"/>
        <v>24</v>
      </c>
      <c r="E47" s="52">
        <f t="shared" si="9"/>
        <v>72</v>
      </c>
      <c r="F47" s="67">
        <f t="shared" si="12"/>
        <v>59</v>
      </c>
      <c r="G47" s="52">
        <f t="shared" si="13"/>
        <v>566.55000000000007</v>
      </c>
      <c r="H47" s="52">
        <f t="shared" si="6"/>
        <v>1699.65</v>
      </c>
      <c r="I47" s="52">
        <f t="shared" si="7"/>
        <v>1133.1000000000001</v>
      </c>
      <c r="J47" s="69">
        <f t="shared" si="10"/>
        <v>17352.799999999996</v>
      </c>
      <c r="K47" s="70">
        <f t="shared" si="14"/>
        <v>36</v>
      </c>
      <c r="L47" s="132"/>
      <c r="M47" s="38">
        <f>Characters!$F$13+((Characters!$M$13 )*(Floor!$F47-1))</f>
        <v>3630</v>
      </c>
      <c r="N47" s="39">
        <f>Characters!$F$14+((Characters!$M$14 )*(Floor!F47-1))</f>
        <v>3630</v>
      </c>
      <c r="O47" s="39">
        <f>Characters!$F$15+((Characters!$M$15 )*(Floor!$F47-1))</f>
        <v>3630</v>
      </c>
      <c r="P47" s="39">
        <f>Characters!$F$16+((Characters!$M$16 )*(Floor!$F47-1))</f>
        <v>3630</v>
      </c>
      <c r="Q47" s="39">
        <f>Characters!$F$17+((Characters!$M$17)*(Floor!$F47-1))</f>
        <v>3630</v>
      </c>
      <c r="R47" s="39">
        <f>Characters!$F$18+((Characters!$M$18 )*(Floor!$F47-1))</f>
        <v>3630</v>
      </c>
      <c r="S47" s="33">
        <f>Characters!$F$19+((Characters!$M$19 )*(Floor!$F47-1))</f>
        <v>3630</v>
      </c>
      <c r="T47" s="38">
        <f>_xlfn.FLOOR.MATH((Characters!$J$13+Characters!$Q$13*(Floor!$F47-1))*5/2)</f>
        <v>455</v>
      </c>
      <c r="U47" s="39">
        <f>_xlfn.FLOOR.MATH((Characters!$J$14+Characters!$Q$14*(Floor!$F47-1))*5/2)</f>
        <v>455</v>
      </c>
      <c r="V47" s="39">
        <f>_xlfn.FLOOR.MATH((Characters!$J$15+Characters!$Q$15*(Floor!$F47-1))*5/2)</f>
        <v>455</v>
      </c>
      <c r="W47" s="39">
        <f>_xlfn.FLOOR.MATH((Characters!$J$16+Characters!$Q$16*(Floor!$F47-1))*5/2)</f>
        <v>455</v>
      </c>
      <c r="X47" s="39">
        <f>_xlfn.FLOOR.MATH((Characters!$J$17+Characters!$Q$17*(Floor!$F47-1))*5/2)</f>
        <v>455</v>
      </c>
      <c r="Y47" s="39">
        <f>_xlfn.FLOOR.MATH((Characters!$J$18+Characters!$Q$18*(Floor!$F47-1))*5/2)</f>
        <v>455</v>
      </c>
      <c r="Z47" s="39">
        <f>_xlfn.FLOOR.MATH((Characters!$J$19+Characters!$Q$19*(Floor!$F47-1))*5/2)</f>
        <v>455</v>
      </c>
      <c r="AA47" s="38">
        <f>_xlfn.FLOOR.MATH((Characters!$G$13+Characters!$N$13*(Floor!$F47-1))*10/2) + _xlfn.FLOOR.MATH((($AI47-1)*Characters!$P$13+Characters!$I$13)*5/2)</f>
        <v>426</v>
      </c>
      <c r="AB47" s="39">
        <f>_xlfn.FLOOR.MATH((Characters!$G$14+Characters!$N$14*(Floor!$F47-1))*10/2) + _xlfn.FLOOR.MATH((($AI47-1)*Characters!$P$14+Characters!$I$14)*5/2)</f>
        <v>426</v>
      </c>
      <c r="AC47" s="39">
        <f>_xlfn.FLOOR.MATH((Characters!$G$15+Characters!$N$15*(Floor!$F47-1))*10/2) + _xlfn.FLOOR.MATH((($AI47-1)*Characters!$P$15+Characters!$I$15)*5/2)</f>
        <v>426</v>
      </c>
      <c r="AD47" s="39">
        <f>_xlfn.FLOOR.MATH((Characters!$G$16+Characters!$N$16*(Floor!$F47-1))*10/2) + _xlfn.FLOOR.MATH((($AI47-1)*Characters!$P$16+Characters!$I$16)*5/2)</f>
        <v>426</v>
      </c>
      <c r="AE47" s="39">
        <f>_xlfn.FLOOR.MATH((Characters!$G$17+Characters!$N$17*(Floor!$F47-1))*10/2) + _xlfn.FLOOR.MATH((($AI47-1)*Characters!$P$17+Characters!$I$17)*5/2)</f>
        <v>426</v>
      </c>
      <c r="AF47" s="39">
        <f>_xlfn.FLOOR.MATH((Characters!$G$18+Characters!$N$18*(Floor!$F47-1))*10/2) + _xlfn.FLOOR.MATH((($AI47-1)*Characters!$P$18+Characters!$I$18)*5/2)</f>
        <v>426</v>
      </c>
      <c r="AG47" s="33">
        <f>_xlfn.FLOOR.MATH((Characters!$G$19+Characters!$N$19*(Floor!$F47-1))*10/2) + _xlfn.FLOOR.MATH((($AI47-1)*Characters!$P$19+Characters!$I$19)*5/2)</f>
        <v>426</v>
      </c>
      <c r="AH47" s="67"/>
      <c r="AI47" s="38">
        <v>40</v>
      </c>
      <c r="AJ47" s="71">
        <f t="shared" si="2"/>
        <v>1602.44</v>
      </c>
      <c r="AK47" s="105">
        <f t="shared" si="11"/>
        <v>22268.799999999999</v>
      </c>
      <c r="AL47" s="38">
        <f>_xlfn.FLOOR.MATH(($AI47-1)*Characters!$M$7+Characters!$F$7)+$AK$5</f>
        <v>5570</v>
      </c>
      <c r="AM47" s="39">
        <f>_xlfn.FLOOR.MATH(($AI47-1)*Characters!$M$8+Characters!$F$8)+$AK$5</f>
        <v>6400</v>
      </c>
      <c r="AN47" s="39">
        <f>_xlfn.FLOOR.MATH(($AI47-1)*Characters!$M$9+Characters!$F$9)+$AK$5</f>
        <v>5305</v>
      </c>
      <c r="AO47" s="39">
        <f>_xlfn.FLOOR.MATH(($AI47-1)*Characters!$M$10+Characters!$F$10)+$AK$5</f>
        <v>5725</v>
      </c>
      <c r="AP47" s="39">
        <f>_xlfn.FLOOR.MATH(($AI47-1)*Characters!$M$11+Characters!$F$11)+$AK$5</f>
        <v>5305</v>
      </c>
      <c r="AQ47" s="39">
        <f>_xlfn.FLOOR.MATH(($AI47-1)*Characters!$M$12+Characters!$F$12)+$AK$5</f>
        <v>5920</v>
      </c>
      <c r="AR47" s="38">
        <f>_xlfn.FLOOR.MATH((($AI47-1)*Characters!$Q$7+Characters!$J$7+$AK$4)*5/2)</f>
        <v>151</v>
      </c>
      <c r="AS47" s="39">
        <f>_xlfn.FLOOR.MATH((($AI47-1)*Characters!$Q$8+Characters!$J$8+$AK$4)*5/2)</f>
        <v>168</v>
      </c>
      <c r="AT47" s="39">
        <f>_xlfn.FLOOR.MATH((($AI47-1)*Characters!$Q$9+Characters!$J$9+$AK$4)*5/2)</f>
        <v>134</v>
      </c>
      <c r="AU47" s="39">
        <f>_xlfn.FLOOR.MATH((($AI47-1)*Characters!$Q$10+Characters!$J$10+$AK$4)*5/2)</f>
        <v>153</v>
      </c>
      <c r="AV47" s="39">
        <f>_xlfn.FLOOR.MATH((($AI47-1)*Characters!$Q$11+Characters!$J$11+$AK$4)*5/2)</f>
        <v>131</v>
      </c>
      <c r="AW47" s="39">
        <f>_xlfn.FLOOR.MATH((($AI47-1)*Characters!$Q$12+Characters!$J$12+$AK$4)*5/2)</f>
        <v>168</v>
      </c>
      <c r="AX47" s="38">
        <f>_xlfn.FLOOR.MATH((($AI47-1)*Characters!$N$7+Characters!$G$7+$AK$2)*10/2) + _xlfn.FLOOR.MATH((($AI47-1)*Characters!$P$7+Characters!$I$7+$AK$3)*5/2)</f>
        <v>183</v>
      </c>
      <c r="AY47" s="39">
        <f>_xlfn.FLOOR.MATH((($AI47-1)*Characters!$N$8+Characters!$G$8+$AK$2)*10/2) + _xlfn.FLOOR.MATH((($AI47-1)*Characters!$P$8+Characters!$I$8+$AK$3)*5/2)</f>
        <v>255</v>
      </c>
      <c r="AZ47" s="39">
        <f>_xlfn.FLOOR.MATH((($AI47-1)*Characters!$N$9+Characters!$G$9+$AK$2)*10/2) + _xlfn.FLOOR.MATH((($AI47-1)*Characters!$P$9+Characters!$I$9+$AK$3)*5/2)</f>
        <v>103</v>
      </c>
      <c r="BA47" s="39">
        <f>_xlfn.FLOOR.MATH((($AI47-1)*Characters!$N$10+Characters!$G$10+$AK$2)*10/2) + _xlfn.FLOOR.MATH((($AI47-1)*Characters!$P$10+Characters!$I$10+$AK$3)*5/2)</f>
        <v>291</v>
      </c>
      <c r="BB47" s="39">
        <f>_xlfn.FLOOR.MATH((($AI47-1)*Characters!$N$11+Characters!$G$11+$AK$2)*10/2) + _xlfn.FLOOR.MATH((($AI47-1)*Characters!$P$11+Characters!$I$11+$AK$3)*5/2)</f>
        <v>115</v>
      </c>
      <c r="BC47" s="33">
        <f>_xlfn.FLOOR.MATH((($AI47-1)*Characters!$N$12+Characters!$G$12+$AK$2)*10/2) + _xlfn.FLOOR.MATH((($AI47-1)*Characters!$P$12+Characters!$I$12+$AK$3)*5/2)</f>
        <v>275</v>
      </c>
    </row>
    <row r="48" spans="1:55" ht="18" customHeight="1">
      <c r="A48" s="38">
        <v>41</v>
      </c>
      <c r="B48" s="20">
        <f t="shared" si="3"/>
        <v>14</v>
      </c>
      <c r="C48" s="20">
        <f t="shared" si="4"/>
        <v>12</v>
      </c>
      <c r="D48" s="52">
        <f t="shared" si="5"/>
        <v>24</v>
      </c>
      <c r="E48" s="52">
        <f t="shared" si="9"/>
        <v>72</v>
      </c>
      <c r="F48" s="67">
        <f t="shared" si="12"/>
        <v>61</v>
      </c>
      <c r="G48" s="52">
        <f t="shared" si="13"/>
        <v>585.75</v>
      </c>
      <c r="H48" s="52">
        <f t="shared" si="6"/>
        <v>1757.25</v>
      </c>
      <c r="I48" s="52">
        <f t="shared" si="7"/>
        <v>1171.5</v>
      </c>
      <c r="J48" s="69">
        <f t="shared" si="10"/>
        <v>18524.299999999996</v>
      </c>
      <c r="K48" s="70">
        <f t="shared" si="14"/>
        <v>37</v>
      </c>
      <c r="L48" s="132"/>
      <c r="M48" s="38">
        <f>Characters!$F$13+((Characters!$M$13 )*(Floor!$F48-1))</f>
        <v>3750</v>
      </c>
      <c r="N48" s="39">
        <f>Characters!$F$14+((Characters!$M$14 )*(Floor!F48-1))</f>
        <v>3750</v>
      </c>
      <c r="O48" s="39">
        <f>Characters!$F$15+((Characters!$M$15 )*(Floor!$F48-1))</f>
        <v>3750</v>
      </c>
      <c r="P48" s="39">
        <f>Characters!$F$16+((Characters!$M$16 )*(Floor!$F48-1))</f>
        <v>3750</v>
      </c>
      <c r="Q48" s="39">
        <f>Characters!$F$17+((Characters!$M$17)*(Floor!$F48-1))</f>
        <v>3750</v>
      </c>
      <c r="R48" s="39">
        <f>Characters!$F$18+((Characters!$M$18 )*(Floor!$F48-1))</f>
        <v>3750</v>
      </c>
      <c r="S48" s="33">
        <f>Characters!$F$19+((Characters!$M$19 )*(Floor!$F48-1))</f>
        <v>3750</v>
      </c>
      <c r="T48" s="38">
        <f>_xlfn.FLOOR.MATH((Characters!$J$13+Characters!$Q$13*(Floor!$F48-1))*5/2)</f>
        <v>470</v>
      </c>
      <c r="U48" s="39">
        <f>_xlfn.FLOOR.MATH((Characters!$J$14+Characters!$Q$14*(Floor!$F48-1))*5/2)</f>
        <v>470</v>
      </c>
      <c r="V48" s="39">
        <f>_xlfn.FLOOR.MATH((Characters!$J$15+Characters!$Q$15*(Floor!$F48-1))*5/2)</f>
        <v>470</v>
      </c>
      <c r="W48" s="39">
        <f>_xlfn.FLOOR.MATH((Characters!$J$16+Characters!$Q$16*(Floor!$F48-1))*5/2)</f>
        <v>470</v>
      </c>
      <c r="X48" s="39">
        <f>_xlfn.FLOOR.MATH((Characters!$J$17+Characters!$Q$17*(Floor!$F48-1))*5/2)</f>
        <v>470</v>
      </c>
      <c r="Y48" s="39">
        <f>_xlfn.FLOOR.MATH((Characters!$J$18+Characters!$Q$18*(Floor!$F48-1))*5/2)</f>
        <v>470</v>
      </c>
      <c r="Z48" s="39">
        <f>_xlfn.FLOOR.MATH((Characters!$J$19+Characters!$Q$19*(Floor!$F48-1))*5/2)</f>
        <v>470</v>
      </c>
      <c r="AA48" s="38">
        <f>_xlfn.FLOOR.MATH((Characters!$G$13+Characters!$N$13*(Floor!$F48-1))*10/2) + _xlfn.FLOOR.MATH((($AI48-1)*Characters!$P$13+Characters!$I$13)*5/2)</f>
        <v>440</v>
      </c>
      <c r="AB48" s="39">
        <f>_xlfn.FLOOR.MATH((Characters!$G$14+Characters!$N$14*(Floor!$F48-1))*10/2) + _xlfn.FLOOR.MATH((($AI48-1)*Characters!$P$14+Characters!$I$14)*5/2)</f>
        <v>440</v>
      </c>
      <c r="AC48" s="39">
        <f>_xlfn.FLOOR.MATH((Characters!$G$15+Characters!$N$15*(Floor!$F48-1))*10/2) + _xlfn.FLOOR.MATH((($AI48-1)*Characters!$P$15+Characters!$I$15)*5/2)</f>
        <v>440</v>
      </c>
      <c r="AD48" s="39">
        <f>_xlfn.FLOOR.MATH((Characters!$G$16+Characters!$N$16*(Floor!$F48-1))*10/2) + _xlfn.FLOOR.MATH((($AI48-1)*Characters!$P$16+Characters!$I$16)*5/2)</f>
        <v>440</v>
      </c>
      <c r="AE48" s="39">
        <f>_xlfn.FLOOR.MATH((Characters!$G$17+Characters!$N$17*(Floor!$F48-1))*10/2) + _xlfn.FLOOR.MATH((($AI48-1)*Characters!$P$17+Characters!$I$17)*5/2)</f>
        <v>440</v>
      </c>
      <c r="AF48" s="39">
        <f>_xlfn.FLOOR.MATH((Characters!$G$18+Characters!$N$18*(Floor!$F48-1))*10/2) + _xlfn.FLOOR.MATH((($AI48-1)*Characters!$P$18+Characters!$I$18)*5/2)</f>
        <v>440</v>
      </c>
      <c r="AG48" s="33">
        <f>_xlfn.FLOOR.MATH((Characters!$G$19+Characters!$N$19*(Floor!$F48-1))*10/2) + _xlfn.FLOOR.MATH((($AI48-1)*Characters!$P$19+Characters!$I$19)*5/2)</f>
        <v>440</v>
      </c>
      <c r="AH48" s="67"/>
      <c r="AI48" s="38">
        <v>41</v>
      </c>
      <c r="AJ48" s="71">
        <f t="shared" si="2"/>
        <v>1683.3999999999999</v>
      </c>
      <c r="AK48" s="105">
        <f t="shared" si="11"/>
        <v>23952.2</v>
      </c>
      <c r="AL48" s="38">
        <f>_xlfn.FLOOR.MATH(($AI48-1)*Characters!$M$7+Characters!$F$7)+$AK$5</f>
        <v>5600</v>
      </c>
      <c r="AM48" s="39">
        <f>_xlfn.FLOOR.MATH(($AI48-1)*Characters!$M$8+Characters!$F$8)+$AK$5</f>
        <v>6450</v>
      </c>
      <c r="AN48" s="39">
        <f>_xlfn.FLOOR.MATH(($AI48-1)*Characters!$M$9+Characters!$F$9)+$AK$5</f>
        <v>5330</v>
      </c>
      <c r="AO48" s="39">
        <f>_xlfn.FLOOR.MATH(($AI48-1)*Characters!$M$10+Characters!$F$10)+$AK$5</f>
        <v>5760</v>
      </c>
      <c r="AP48" s="39">
        <f>_xlfn.FLOOR.MATH(($AI48-1)*Characters!$M$11+Characters!$F$11)+$AK$5</f>
        <v>5330</v>
      </c>
      <c r="AQ48" s="39">
        <f>_xlfn.FLOOR.MATH(($AI48-1)*Characters!$M$12+Characters!$F$12)+$AK$5</f>
        <v>5960</v>
      </c>
      <c r="AR48" s="38">
        <f>_xlfn.FLOOR.MATH((($AI48-1)*Characters!$Q$7+Characters!$J$7+$AK$4)*5/2)</f>
        <v>152</v>
      </c>
      <c r="AS48" s="39">
        <f>_xlfn.FLOOR.MATH((($AI48-1)*Characters!$Q$8+Characters!$J$8+$AK$4)*5/2)</f>
        <v>170</v>
      </c>
      <c r="AT48" s="39">
        <f>_xlfn.FLOOR.MATH((($AI48-1)*Characters!$Q$9+Characters!$J$9+$AK$4)*5/2)</f>
        <v>135</v>
      </c>
      <c r="AU48" s="39">
        <f>_xlfn.FLOOR.MATH((($AI48-1)*Characters!$Q$10+Characters!$J$10+$AK$4)*5/2)</f>
        <v>155</v>
      </c>
      <c r="AV48" s="39">
        <f>_xlfn.FLOOR.MATH((($AI48-1)*Characters!$Q$11+Characters!$J$11+$AK$4)*5/2)</f>
        <v>132</v>
      </c>
      <c r="AW48" s="39">
        <f>_xlfn.FLOOR.MATH((($AI48-1)*Characters!$Q$12+Characters!$J$12+$AK$4)*5/2)</f>
        <v>170</v>
      </c>
      <c r="AX48" s="38">
        <f>_xlfn.FLOOR.MATH((($AI48-1)*Characters!$N$7+Characters!$G$7+$AK$2)*10/2) + _xlfn.FLOOR.MATH((($AI48-1)*Characters!$P$7+Characters!$I$7+$AK$3)*5/2)</f>
        <v>187</v>
      </c>
      <c r="AY48" s="39">
        <f>_xlfn.FLOOR.MATH((($AI48-1)*Characters!$N$8+Characters!$G$8+$AK$2)*10/2) + _xlfn.FLOOR.MATH((($AI48-1)*Characters!$P$8+Characters!$I$8+$AK$3)*5/2)</f>
        <v>260</v>
      </c>
      <c r="AZ48" s="39">
        <f>_xlfn.FLOOR.MATH((($AI48-1)*Characters!$N$9+Characters!$G$9+$AK$2)*10/2) + _xlfn.FLOOR.MATH((($AI48-1)*Characters!$P$9+Characters!$I$9+$AK$3)*5/2)</f>
        <v>105</v>
      </c>
      <c r="BA48" s="39">
        <f>_xlfn.FLOOR.MATH((($AI48-1)*Characters!$N$10+Characters!$G$10+$AK$2)*10/2) + _xlfn.FLOOR.MATH((($AI48-1)*Characters!$P$10+Characters!$I$10+$AK$3)*5/2)</f>
        <v>297</v>
      </c>
      <c r="BB48" s="39">
        <f>_xlfn.FLOOR.MATH((($AI48-1)*Characters!$N$11+Characters!$G$11+$AK$2)*10/2) + _xlfn.FLOOR.MATH((($AI48-1)*Characters!$P$11+Characters!$I$11+$AK$3)*5/2)</f>
        <v>117</v>
      </c>
      <c r="BC48" s="33">
        <f>_xlfn.FLOOR.MATH((($AI48-1)*Characters!$N$12+Characters!$G$12+$AK$2)*10/2) + _xlfn.FLOOR.MATH((($AI48-1)*Characters!$P$12+Characters!$I$12+$AK$3)*5/2)</f>
        <v>280</v>
      </c>
    </row>
    <row r="49" spans="1:55" ht="18" customHeight="1">
      <c r="A49" s="38">
        <v>42</v>
      </c>
      <c r="B49" s="20">
        <f t="shared" si="3"/>
        <v>14</v>
      </c>
      <c r="C49" s="20">
        <f t="shared" si="4"/>
        <v>12</v>
      </c>
      <c r="D49" s="52">
        <f t="shared" si="5"/>
        <v>24</v>
      </c>
      <c r="E49" s="52">
        <f t="shared" si="9"/>
        <v>72</v>
      </c>
      <c r="F49" s="67">
        <f t="shared" si="12"/>
        <v>62</v>
      </c>
      <c r="G49" s="52">
        <f t="shared" si="13"/>
        <v>595.35</v>
      </c>
      <c r="H49" s="52">
        <f t="shared" si="6"/>
        <v>1786.0500000000002</v>
      </c>
      <c r="I49" s="52">
        <f t="shared" si="7"/>
        <v>1190.7</v>
      </c>
      <c r="J49" s="69">
        <f t="shared" si="10"/>
        <v>19714.999999999996</v>
      </c>
      <c r="K49" s="70">
        <f t="shared" si="14"/>
        <v>38</v>
      </c>
      <c r="L49" s="132"/>
      <c r="M49" s="38">
        <f>Characters!$F$13+((Characters!$M$13 )*(Floor!$F49-1))</f>
        <v>3810</v>
      </c>
      <c r="N49" s="39">
        <f>Characters!$F$14+((Characters!$M$14 )*(Floor!F49-1))</f>
        <v>3810</v>
      </c>
      <c r="O49" s="39">
        <f>Characters!$F$15+((Characters!$M$15 )*(Floor!$F49-1))</f>
        <v>3810</v>
      </c>
      <c r="P49" s="39">
        <f>Characters!$F$16+((Characters!$M$16 )*(Floor!$F49-1))</f>
        <v>3810</v>
      </c>
      <c r="Q49" s="39">
        <f>Characters!$F$17+((Characters!$M$17)*(Floor!$F49-1))</f>
        <v>3810</v>
      </c>
      <c r="R49" s="39">
        <f>Characters!$F$18+((Characters!$M$18 )*(Floor!$F49-1))</f>
        <v>3810</v>
      </c>
      <c r="S49" s="33">
        <f>Characters!$F$19+((Characters!$M$19 )*(Floor!$F49-1))</f>
        <v>3810</v>
      </c>
      <c r="T49" s="38">
        <f>_xlfn.FLOOR.MATH((Characters!$J$13+Characters!$Q$13*(Floor!$F49-1))*5/2)</f>
        <v>477</v>
      </c>
      <c r="U49" s="39">
        <f>_xlfn.FLOOR.MATH((Characters!$J$14+Characters!$Q$14*(Floor!$F49-1))*5/2)</f>
        <v>477</v>
      </c>
      <c r="V49" s="39">
        <f>_xlfn.FLOOR.MATH((Characters!$J$15+Characters!$Q$15*(Floor!$F49-1))*5/2)</f>
        <v>477</v>
      </c>
      <c r="W49" s="39">
        <f>_xlfn.FLOOR.MATH((Characters!$J$16+Characters!$Q$16*(Floor!$F49-1))*5/2)</f>
        <v>477</v>
      </c>
      <c r="X49" s="39">
        <f>_xlfn.FLOOR.MATH((Characters!$J$17+Characters!$Q$17*(Floor!$F49-1))*5/2)</f>
        <v>477</v>
      </c>
      <c r="Y49" s="39">
        <f>_xlfn.FLOOR.MATH((Characters!$J$18+Characters!$Q$18*(Floor!$F49-1))*5/2)</f>
        <v>477</v>
      </c>
      <c r="Z49" s="39">
        <f>_xlfn.FLOOR.MATH((Characters!$J$19+Characters!$Q$19*(Floor!$F49-1))*5/2)</f>
        <v>477</v>
      </c>
      <c r="AA49" s="38">
        <f>_xlfn.FLOOR.MATH((Characters!$G$13+Characters!$N$13*(Floor!$F49-1))*10/2) + _xlfn.FLOOR.MATH((($AI49-1)*Characters!$P$13+Characters!$I$13)*5/2)</f>
        <v>447</v>
      </c>
      <c r="AB49" s="39">
        <f>_xlfn.FLOOR.MATH((Characters!$G$14+Characters!$N$14*(Floor!$F49-1))*10/2) + _xlfn.FLOOR.MATH((($AI49-1)*Characters!$P$14+Characters!$I$14)*5/2)</f>
        <v>447</v>
      </c>
      <c r="AC49" s="39">
        <f>_xlfn.FLOOR.MATH((Characters!$G$15+Characters!$N$15*(Floor!$F49-1))*10/2) + _xlfn.FLOOR.MATH((($AI49-1)*Characters!$P$15+Characters!$I$15)*5/2)</f>
        <v>447</v>
      </c>
      <c r="AD49" s="39">
        <f>_xlfn.FLOOR.MATH((Characters!$G$16+Characters!$N$16*(Floor!$F49-1))*10/2) + _xlfn.FLOOR.MATH((($AI49-1)*Characters!$P$16+Characters!$I$16)*5/2)</f>
        <v>447</v>
      </c>
      <c r="AE49" s="39">
        <f>_xlfn.FLOOR.MATH((Characters!$G$17+Characters!$N$17*(Floor!$F49-1))*10/2) + _xlfn.FLOOR.MATH((($AI49-1)*Characters!$P$17+Characters!$I$17)*5/2)</f>
        <v>447</v>
      </c>
      <c r="AF49" s="39">
        <f>_xlfn.FLOOR.MATH((Characters!$G$18+Characters!$N$18*(Floor!$F49-1))*10/2) + _xlfn.FLOOR.MATH((($AI49-1)*Characters!$P$18+Characters!$I$18)*5/2)</f>
        <v>447</v>
      </c>
      <c r="AG49" s="33">
        <f>_xlfn.FLOOR.MATH((Characters!$G$19+Characters!$N$19*(Floor!$F49-1))*10/2) + _xlfn.FLOOR.MATH((($AI49-1)*Characters!$P$19+Characters!$I$19)*5/2)</f>
        <v>447</v>
      </c>
      <c r="AH49" s="67"/>
      <c r="AI49" s="38">
        <v>42</v>
      </c>
      <c r="AJ49" s="71">
        <f t="shared" si="2"/>
        <v>1766.36</v>
      </c>
      <c r="AK49" s="105">
        <f t="shared" si="11"/>
        <v>25718.560000000001</v>
      </c>
      <c r="AL49" s="38">
        <f>_xlfn.FLOOR.MATH(($AI49-1)*Characters!$M$7+Characters!$F$7)+$AK$5</f>
        <v>5630</v>
      </c>
      <c r="AM49" s="39">
        <f>_xlfn.FLOOR.MATH(($AI49-1)*Characters!$M$8+Characters!$F$8)+$AK$5</f>
        <v>6500</v>
      </c>
      <c r="AN49" s="39">
        <f>_xlfn.FLOOR.MATH(($AI49-1)*Characters!$M$9+Characters!$F$9)+$AK$5</f>
        <v>5355</v>
      </c>
      <c r="AO49" s="39">
        <f>_xlfn.FLOOR.MATH(($AI49-1)*Characters!$M$10+Characters!$F$10)+$AK$5</f>
        <v>5795</v>
      </c>
      <c r="AP49" s="39">
        <f>_xlfn.FLOOR.MATH(($AI49-1)*Characters!$M$11+Characters!$F$11)+$AK$5</f>
        <v>5355</v>
      </c>
      <c r="AQ49" s="39">
        <f>_xlfn.FLOOR.MATH(($AI49-1)*Characters!$M$12+Characters!$F$12)+$AK$5</f>
        <v>6000</v>
      </c>
      <c r="AR49" s="38">
        <f>_xlfn.FLOOR.MATH((($AI49-1)*Characters!$Q$7+Characters!$J$7+$AK$4)*5/2)</f>
        <v>153</v>
      </c>
      <c r="AS49" s="39">
        <f>_xlfn.FLOOR.MATH((($AI49-1)*Characters!$Q$8+Characters!$J$8+$AK$4)*5/2)</f>
        <v>171</v>
      </c>
      <c r="AT49" s="39">
        <f>_xlfn.FLOOR.MATH((($AI49-1)*Characters!$Q$9+Characters!$J$9+$AK$4)*5/2)</f>
        <v>135</v>
      </c>
      <c r="AU49" s="39">
        <f>_xlfn.FLOOR.MATH((($AI49-1)*Characters!$Q$10+Characters!$J$10+$AK$4)*5/2)</f>
        <v>156</v>
      </c>
      <c r="AV49" s="39">
        <f>_xlfn.FLOOR.MATH((($AI49-1)*Characters!$Q$11+Characters!$J$11+$AK$4)*5/2)</f>
        <v>133</v>
      </c>
      <c r="AW49" s="39">
        <f>_xlfn.FLOOR.MATH((($AI49-1)*Characters!$Q$12+Characters!$J$12+$AK$4)*5/2)</f>
        <v>171</v>
      </c>
      <c r="AX49" s="38">
        <f>_xlfn.FLOOR.MATH((($AI49-1)*Characters!$N$7+Characters!$G$7+$AK$2)*10/2) + _xlfn.FLOOR.MATH((($AI49-1)*Characters!$P$7+Characters!$I$7+$AK$3)*5/2)</f>
        <v>190</v>
      </c>
      <c r="AY49" s="39">
        <f>_xlfn.FLOOR.MATH((($AI49-1)*Characters!$N$8+Characters!$G$8+$AK$2)*10/2) + _xlfn.FLOOR.MATH((($AI49-1)*Characters!$P$8+Characters!$I$8+$AK$3)*5/2)</f>
        <v>264</v>
      </c>
      <c r="AZ49" s="39">
        <f>_xlfn.FLOOR.MATH((($AI49-1)*Characters!$N$9+Characters!$G$9+$AK$2)*10/2) + _xlfn.FLOOR.MATH((($AI49-1)*Characters!$P$9+Characters!$I$9+$AK$3)*5/2)</f>
        <v>106</v>
      </c>
      <c r="BA49" s="39">
        <f>_xlfn.FLOOR.MATH((($AI49-1)*Characters!$N$10+Characters!$G$10+$AK$2)*10/2) + _xlfn.FLOOR.MATH((($AI49-1)*Characters!$P$10+Characters!$I$10+$AK$3)*5/2)</f>
        <v>302</v>
      </c>
      <c r="BB49" s="39">
        <f>_xlfn.FLOOR.MATH((($AI49-1)*Characters!$N$11+Characters!$G$11+$AK$2)*10/2) + _xlfn.FLOOR.MATH((($AI49-1)*Characters!$P$11+Characters!$I$11+$AK$3)*5/2)</f>
        <v>119</v>
      </c>
      <c r="BC49" s="33">
        <f>_xlfn.FLOOR.MATH((($AI49-1)*Characters!$N$12+Characters!$G$12+$AK$2)*10/2) + _xlfn.FLOOR.MATH((($AI49-1)*Characters!$P$12+Characters!$I$12+$AK$3)*5/2)</f>
        <v>285</v>
      </c>
    </row>
    <row r="50" spans="1:55" ht="18" customHeight="1">
      <c r="A50" s="38">
        <v>43</v>
      </c>
      <c r="B50" s="20">
        <f t="shared" si="3"/>
        <v>14</v>
      </c>
      <c r="C50" s="20">
        <f t="shared" si="4"/>
        <v>12</v>
      </c>
      <c r="D50" s="52">
        <f t="shared" si="5"/>
        <v>24</v>
      </c>
      <c r="E50" s="52">
        <f t="shared" si="9"/>
        <v>72</v>
      </c>
      <c r="F50" s="67">
        <f t="shared" si="12"/>
        <v>64</v>
      </c>
      <c r="G50" s="52">
        <f t="shared" si="13"/>
        <v>614.55000000000007</v>
      </c>
      <c r="H50" s="52">
        <f t="shared" si="6"/>
        <v>1843.65</v>
      </c>
      <c r="I50" s="52">
        <f t="shared" si="7"/>
        <v>1229.1000000000001</v>
      </c>
      <c r="J50" s="69">
        <f t="shared" si="10"/>
        <v>20944.099999999995</v>
      </c>
      <c r="K50" s="70">
        <f t="shared" si="14"/>
        <v>39</v>
      </c>
      <c r="L50" s="132"/>
      <c r="M50" s="38">
        <f>Characters!$F$13+((Characters!$M$13 )*(Floor!$F50-1))</f>
        <v>3930</v>
      </c>
      <c r="N50" s="39">
        <f>Characters!$F$14+((Characters!$M$14 )*(Floor!F50-1))</f>
        <v>3930</v>
      </c>
      <c r="O50" s="39">
        <f>Characters!$F$15+((Characters!$M$15 )*(Floor!$F50-1))</f>
        <v>3930</v>
      </c>
      <c r="P50" s="39">
        <f>Characters!$F$16+((Characters!$M$16 )*(Floor!$F50-1))</f>
        <v>3930</v>
      </c>
      <c r="Q50" s="39">
        <f>Characters!$F$17+((Characters!$M$17)*(Floor!$F50-1))</f>
        <v>3930</v>
      </c>
      <c r="R50" s="39">
        <f>Characters!$F$18+((Characters!$M$18 )*(Floor!$F50-1))</f>
        <v>3930</v>
      </c>
      <c r="S50" s="33">
        <f>Characters!$F$19+((Characters!$M$19 )*(Floor!$F50-1))</f>
        <v>3930</v>
      </c>
      <c r="T50" s="38">
        <f>_xlfn.FLOOR.MATH((Characters!$J$13+Characters!$Q$13*(Floor!$F50-1))*5/2)</f>
        <v>492</v>
      </c>
      <c r="U50" s="39">
        <f>_xlfn.FLOOR.MATH((Characters!$J$14+Characters!$Q$14*(Floor!$F50-1))*5/2)</f>
        <v>492</v>
      </c>
      <c r="V50" s="39">
        <f>_xlfn.FLOOR.MATH((Characters!$J$15+Characters!$Q$15*(Floor!$F50-1))*5/2)</f>
        <v>492</v>
      </c>
      <c r="W50" s="39">
        <f>_xlfn.FLOOR.MATH((Characters!$J$16+Characters!$Q$16*(Floor!$F50-1))*5/2)</f>
        <v>492</v>
      </c>
      <c r="X50" s="39">
        <f>_xlfn.FLOOR.MATH((Characters!$J$17+Characters!$Q$17*(Floor!$F50-1))*5/2)</f>
        <v>492</v>
      </c>
      <c r="Y50" s="39">
        <f>_xlfn.FLOOR.MATH((Characters!$J$18+Characters!$Q$18*(Floor!$F50-1))*5/2)</f>
        <v>492</v>
      </c>
      <c r="Z50" s="39">
        <f>_xlfn.FLOOR.MATH((Characters!$J$19+Characters!$Q$19*(Floor!$F50-1))*5/2)</f>
        <v>492</v>
      </c>
      <c r="AA50" s="38">
        <f>_xlfn.FLOOR.MATH((Characters!$G$13+Characters!$N$13*(Floor!$F50-1))*10/2) + _xlfn.FLOOR.MATH((($AI50-1)*Characters!$P$13+Characters!$I$13)*5/2)</f>
        <v>460</v>
      </c>
      <c r="AB50" s="39">
        <f>_xlfn.FLOOR.MATH((Characters!$G$14+Characters!$N$14*(Floor!$F50-1))*10/2) + _xlfn.FLOOR.MATH((($AI50-1)*Characters!$P$14+Characters!$I$14)*5/2)</f>
        <v>460</v>
      </c>
      <c r="AC50" s="39">
        <f>_xlfn.FLOOR.MATH((Characters!$G$15+Characters!$N$15*(Floor!$F50-1))*10/2) + _xlfn.FLOOR.MATH((($AI50-1)*Characters!$P$15+Characters!$I$15)*5/2)</f>
        <v>460</v>
      </c>
      <c r="AD50" s="39">
        <f>_xlfn.FLOOR.MATH((Characters!$G$16+Characters!$N$16*(Floor!$F50-1))*10/2) + _xlfn.FLOOR.MATH((($AI50-1)*Characters!$P$16+Characters!$I$16)*5/2)</f>
        <v>460</v>
      </c>
      <c r="AE50" s="39">
        <f>_xlfn.FLOOR.MATH((Characters!$G$17+Characters!$N$17*(Floor!$F50-1))*10/2) + _xlfn.FLOOR.MATH((($AI50-1)*Characters!$P$17+Characters!$I$17)*5/2)</f>
        <v>460</v>
      </c>
      <c r="AF50" s="39">
        <f>_xlfn.FLOOR.MATH((Characters!$G$18+Characters!$N$18*(Floor!$F50-1))*10/2) + _xlfn.FLOOR.MATH((($AI50-1)*Characters!$P$18+Characters!$I$18)*5/2)</f>
        <v>460</v>
      </c>
      <c r="AG50" s="33">
        <f>_xlfn.FLOOR.MATH((Characters!$G$19+Characters!$N$19*(Floor!$F50-1))*10/2) + _xlfn.FLOOR.MATH((($AI50-1)*Characters!$P$19+Characters!$I$19)*5/2)</f>
        <v>460</v>
      </c>
      <c r="AH50" s="67"/>
      <c r="AI50" s="38">
        <v>43</v>
      </c>
      <c r="AJ50" s="71">
        <f t="shared" si="2"/>
        <v>1851.32</v>
      </c>
      <c r="AK50" s="105">
        <f t="shared" si="11"/>
        <v>27569.88</v>
      </c>
      <c r="AL50" s="38">
        <f>_xlfn.FLOOR.MATH(($AI50-1)*Characters!$M$7+Characters!$F$7)+$AK$5</f>
        <v>5660</v>
      </c>
      <c r="AM50" s="39">
        <f>_xlfn.FLOOR.MATH(($AI50-1)*Characters!$M$8+Characters!$F$8)+$AK$5</f>
        <v>6550</v>
      </c>
      <c r="AN50" s="39">
        <f>_xlfn.FLOOR.MATH(($AI50-1)*Characters!$M$9+Characters!$F$9)+$AK$5</f>
        <v>5380</v>
      </c>
      <c r="AO50" s="39">
        <f>_xlfn.FLOOR.MATH(($AI50-1)*Characters!$M$10+Characters!$F$10)+$AK$5</f>
        <v>5830</v>
      </c>
      <c r="AP50" s="39">
        <f>_xlfn.FLOOR.MATH(($AI50-1)*Characters!$M$11+Characters!$F$11)+$AK$5</f>
        <v>5380</v>
      </c>
      <c r="AQ50" s="39">
        <f>_xlfn.FLOOR.MATH(($AI50-1)*Characters!$M$12+Characters!$F$12)+$AK$5</f>
        <v>6040</v>
      </c>
      <c r="AR50" s="38">
        <f>_xlfn.FLOOR.MATH((($AI50-1)*Characters!$Q$7+Characters!$J$7+$AK$4)*5/2)</f>
        <v>155</v>
      </c>
      <c r="AS50" s="39">
        <f>_xlfn.FLOOR.MATH((($AI50-1)*Characters!$Q$8+Characters!$J$8+$AK$4)*5/2)</f>
        <v>173</v>
      </c>
      <c r="AT50" s="39">
        <f>_xlfn.FLOOR.MATH((($AI50-1)*Characters!$Q$9+Characters!$J$9+$AK$4)*5/2)</f>
        <v>136</v>
      </c>
      <c r="AU50" s="39">
        <f>_xlfn.FLOOR.MATH((($AI50-1)*Characters!$Q$10+Characters!$J$10+$AK$4)*5/2)</f>
        <v>157</v>
      </c>
      <c r="AV50" s="39">
        <f>_xlfn.FLOOR.MATH((($AI50-1)*Characters!$Q$11+Characters!$J$11+$AK$4)*5/2)</f>
        <v>134</v>
      </c>
      <c r="AW50" s="39">
        <f>_xlfn.FLOOR.MATH((($AI50-1)*Characters!$Q$12+Characters!$J$12+$AK$4)*5/2)</f>
        <v>173</v>
      </c>
      <c r="AX50" s="38">
        <f>_xlfn.FLOOR.MATH((($AI50-1)*Characters!$N$7+Characters!$G$7+$AK$2)*10/2) + _xlfn.FLOOR.MATH((($AI50-1)*Characters!$P$7+Characters!$I$7+$AK$3)*5/2)</f>
        <v>195</v>
      </c>
      <c r="AY50" s="39">
        <f>_xlfn.FLOOR.MATH((($AI50-1)*Characters!$N$8+Characters!$G$8+$AK$2)*10/2) + _xlfn.FLOOR.MATH((($AI50-1)*Characters!$P$8+Characters!$I$8+$AK$3)*5/2)</f>
        <v>269</v>
      </c>
      <c r="AZ50" s="39">
        <f>_xlfn.FLOOR.MATH((($AI50-1)*Characters!$N$9+Characters!$G$9+$AK$2)*10/2) + _xlfn.FLOOR.MATH((($AI50-1)*Characters!$P$9+Characters!$I$9+$AK$3)*5/2)</f>
        <v>108</v>
      </c>
      <c r="BA50" s="39">
        <f>_xlfn.FLOOR.MATH((($AI50-1)*Characters!$N$10+Characters!$G$10+$AK$2)*10/2) + _xlfn.FLOOR.MATH((($AI50-1)*Characters!$P$10+Characters!$I$10+$AK$3)*5/2)</f>
        <v>308</v>
      </c>
      <c r="BB50" s="39">
        <f>_xlfn.FLOOR.MATH((($AI50-1)*Characters!$N$11+Characters!$G$11+$AK$2)*10/2) + _xlfn.FLOOR.MATH((($AI50-1)*Characters!$P$11+Characters!$I$11+$AK$3)*5/2)</f>
        <v>121</v>
      </c>
      <c r="BC50" s="33">
        <f>_xlfn.FLOOR.MATH((($AI50-1)*Characters!$N$12+Characters!$G$12+$AK$2)*10/2) + _xlfn.FLOOR.MATH((($AI50-1)*Characters!$P$12+Characters!$I$12+$AK$3)*5/2)</f>
        <v>290</v>
      </c>
    </row>
    <row r="51" spans="1:55" ht="18" customHeight="1">
      <c r="A51" s="38">
        <v>44</v>
      </c>
      <c r="B51" s="20">
        <f t="shared" si="3"/>
        <v>14</v>
      </c>
      <c r="C51" s="20">
        <f t="shared" si="4"/>
        <v>12</v>
      </c>
      <c r="D51" s="52">
        <f t="shared" si="5"/>
        <v>24</v>
      </c>
      <c r="E51" s="52">
        <f t="shared" si="9"/>
        <v>72</v>
      </c>
      <c r="F51" s="67">
        <f t="shared" si="12"/>
        <v>65</v>
      </c>
      <c r="G51" s="52">
        <f t="shared" si="13"/>
        <v>624.15</v>
      </c>
      <c r="H51" s="52">
        <f t="shared" si="6"/>
        <v>1872.4499999999998</v>
      </c>
      <c r="I51" s="52">
        <f t="shared" si="7"/>
        <v>1248.3</v>
      </c>
      <c r="J51" s="69">
        <f t="shared" si="10"/>
        <v>22192.399999999994</v>
      </c>
      <c r="K51" s="70">
        <f t="shared" si="14"/>
        <v>39</v>
      </c>
      <c r="L51" s="132"/>
      <c r="M51" s="38">
        <f>Characters!$F$13+((Characters!$M$13 )*(Floor!$F51-1))</f>
        <v>3990</v>
      </c>
      <c r="N51" s="39">
        <f>Characters!$F$14+((Characters!$M$14 )*(Floor!F51-1))</f>
        <v>3990</v>
      </c>
      <c r="O51" s="39">
        <f>Characters!$F$15+((Characters!$M$15 )*(Floor!$F51-1))</f>
        <v>3990</v>
      </c>
      <c r="P51" s="39">
        <f>Characters!$F$16+((Characters!$M$16 )*(Floor!$F51-1))</f>
        <v>3990</v>
      </c>
      <c r="Q51" s="39">
        <f>Characters!$F$17+((Characters!$M$17)*(Floor!$F51-1))</f>
        <v>3990</v>
      </c>
      <c r="R51" s="39">
        <f>Characters!$F$18+((Characters!$M$18 )*(Floor!$F51-1))</f>
        <v>3990</v>
      </c>
      <c r="S51" s="33">
        <f>Characters!$F$19+((Characters!$M$19 )*(Floor!$F51-1))</f>
        <v>3990</v>
      </c>
      <c r="T51" s="38">
        <f>_xlfn.FLOOR.MATH((Characters!$J$13+Characters!$Q$13*(Floor!$F51-1))*5/2)</f>
        <v>500</v>
      </c>
      <c r="U51" s="39">
        <f>_xlfn.FLOOR.MATH((Characters!$J$14+Characters!$Q$14*(Floor!$F51-1))*5/2)</f>
        <v>500</v>
      </c>
      <c r="V51" s="39">
        <f>_xlfn.FLOOR.MATH((Characters!$J$15+Characters!$Q$15*(Floor!$F51-1))*5/2)</f>
        <v>500</v>
      </c>
      <c r="W51" s="39">
        <f>_xlfn.FLOOR.MATH((Characters!$J$16+Characters!$Q$16*(Floor!$F51-1))*5/2)</f>
        <v>500</v>
      </c>
      <c r="X51" s="39">
        <f>_xlfn.FLOOR.MATH((Characters!$J$17+Characters!$Q$17*(Floor!$F51-1))*5/2)</f>
        <v>500</v>
      </c>
      <c r="Y51" s="39">
        <f>_xlfn.FLOOR.MATH((Characters!$J$18+Characters!$Q$18*(Floor!$F51-1))*5/2)</f>
        <v>500</v>
      </c>
      <c r="Z51" s="39">
        <f>_xlfn.FLOOR.MATH((Characters!$J$19+Characters!$Q$19*(Floor!$F51-1))*5/2)</f>
        <v>500</v>
      </c>
      <c r="AA51" s="38">
        <f>_xlfn.FLOOR.MATH((Characters!$G$13+Characters!$N$13*(Floor!$F51-1))*10/2) + _xlfn.FLOOR.MATH((($AI51-1)*Characters!$P$13+Characters!$I$13)*5/2)</f>
        <v>467</v>
      </c>
      <c r="AB51" s="39">
        <f>_xlfn.FLOOR.MATH((Characters!$G$14+Characters!$N$14*(Floor!$F51-1))*10/2) + _xlfn.FLOOR.MATH((($AI51-1)*Characters!$P$14+Characters!$I$14)*5/2)</f>
        <v>467</v>
      </c>
      <c r="AC51" s="39">
        <f>_xlfn.FLOOR.MATH((Characters!$G$15+Characters!$N$15*(Floor!$F51-1))*10/2) + _xlfn.FLOOR.MATH((($AI51-1)*Characters!$P$15+Characters!$I$15)*5/2)</f>
        <v>467</v>
      </c>
      <c r="AD51" s="39">
        <f>_xlfn.FLOOR.MATH((Characters!$G$16+Characters!$N$16*(Floor!$F51-1))*10/2) + _xlfn.FLOOR.MATH((($AI51-1)*Characters!$P$16+Characters!$I$16)*5/2)</f>
        <v>467</v>
      </c>
      <c r="AE51" s="39">
        <f>_xlfn.FLOOR.MATH((Characters!$G$17+Characters!$N$17*(Floor!$F51-1))*10/2) + _xlfn.FLOOR.MATH((($AI51-1)*Characters!$P$17+Characters!$I$17)*5/2)</f>
        <v>467</v>
      </c>
      <c r="AF51" s="39">
        <f>_xlfn.FLOOR.MATH((Characters!$G$18+Characters!$N$18*(Floor!$F51-1))*10/2) + _xlfn.FLOOR.MATH((($AI51-1)*Characters!$P$18+Characters!$I$18)*5/2)</f>
        <v>467</v>
      </c>
      <c r="AG51" s="33">
        <f>_xlfn.FLOOR.MATH((Characters!$G$19+Characters!$N$19*(Floor!$F51-1))*10/2) + _xlfn.FLOOR.MATH((($AI51-1)*Characters!$P$19+Characters!$I$19)*5/2)</f>
        <v>467</v>
      </c>
      <c r="AH51" s="67"/>
      <c r="AI51" s="38">
        <v>44</v>
      </c>
      <c r="AJ51" s="71">
        <f t="shared" si="2"/>
        <v>1938.28</v>
      </c>
      <c r="AK51" s="105">
        <f t="shared" si="11"/>
        <v>29508.16</v>
      </c>
      <c r="AL51" s="38">
        <f>_xlfn.FLOOR.MATH(($AI51-1)*Characters!$M$7+Characters!$F$7)+$AK$5</f>
        <v>5690</v>
      </c>
      <c r="AM51" s="39">
        <f>_xlfn.FLOOR.MATH(($AI51-1)*Characters!$M$8+Characters!$F$8)+$AK$5</f>
        <v>6600</v>
      </c>
      <c r="AN51" s="39">
        <f>_xlfn.FLOOR.MATH(($AI51-1)*Characters!$M$9+Characters!$F$9)+$AK$5</f>
        <v>5405</v>
      </c>
      <c r="AO51" s="39">
        <f>_xlfn.FLOOR.MATH(($AI51-1)*Characters!$M$10+Characters!$F$10)+$AK$5</f>
        <v>5865</v>
      </c>
      <c r="AP51" s="39">
        <f>_xlfn.FLOOR.MATH(($AI51-1)*Characters!$M$11+Characters!$F$11)+$AK$5</f>
        <v>5405</v>
      </c>
      <c r="AQ51" s="39">
        <f>_xlfn.FLOOR.MATH(($AI51-1)*Characters!$M$12+Characters!$F$12)+$AK$5</f>
        <v>6080</v>
      </c>
      <c r="AR51" s="38">
        <f>_xlfn.FLOOR.MATH((($AI51-1)*Characters!$Q$7+Characters!$J$7+$AK$4)*5/2)</f>
        <v>156</v>
      </c>
      <c r="AS51" s="39">
        <f>_xlfn.FLOOR.MATH((($AI51-1)*Characters!$Q$8+Characters!$J$8+$AK$4)*5/2)</f>
        <v>174</v>
      </c>
      <c r="AT51" s="39">
        <f>_xlfn.FLOOR.MATH((($AI51-1)*Characters!$Q$9+Characters!$J$9+$AK$4)*5/2)</f>
        <v>137</v>
      </c>
      <c r="AU51" s="39">
        <f>_xlfn.FLOOR.MATH((($AI51-1)*Characters!$Q$10+Characters!$J$10+$AK$4)*5/2)</f>
        <v>158</v>
      </c>
      <c r="AV51" s="39">
        <f>_xlfn.FLOOR.MATH((($AI51-1)*Characters!$Q$11+Characters!$J$11+$AK$4)*5/2)</f>
        <v>134</v>
      </c>
      <c r="AW51" s="39">
        <f>_xlfn.FLOOR.MATH((($AI51-1)*Characters!$Q$12+Characters!$J$12+$AK$4)*5/2)</f>
        <v>174</v>
      </c>
      <c r="AX51" s="38">
        <f>_xlfn.FLOOR.MATH((($AI51-1)*Characters!$N$7+Characters!$G$7+$AK$2)*10/2) + _xlfn.FLOOR.MATH((($AI51-1)*Characters!$P$7+Characters!$I$7+$AK$3)*5/2)</f>
        <v>198</v>
      </c>
      <c r="AY51" s="39">
        <f>_xlfn.FLOOR.MATH((($AI51-1)*Characters!$N$8+Characters!$G$8+$AK$2)*10/2) + _xlfn.FLOOR.MATH((($AI51-1)*Characters!$P$8+Characters!$I$8+$AK$3)*5/2)</f>
        <v>273</v>
      </c>
      <c r="AZ51" s="39">
        <f>_xlfn.FLOOR.MATH((($AI51-1)*Characters!$N$9+Characters!$G$9+$AK$2)*10/2) + _xlfn.FLOOR.MATH((($AI51-1)*Characters!$P$9+Characters!$I$9+$AK$3)*5/2)</f>
        <v>110</v>
      </c>
      <c r="BA51" s="39">
        <f>_xlfn.FLOOR.MATH((($AI51-1)*Characters!$N$10+Characters!$G$10+$AK$2)*10/2) + _xlfn.FLOOR.MATH((($AI51-1)*Characters!$P$10+Characters!$I$10+$AK$3)*5/2)</f>
        <v>313</v>
      </c>
      <c r="BB51" s="39">
        <f>_xlfn.FLOOR.MATH((($AI51-1)*Characters!$N$11+Characters!$G$11+$AK$2)*10/2) + _xlfn.FLOOR.MATH((($AI51-1)*Characters!$P$11+Characters!$I$11+$AK$3)*5/2)</f>
        <v>123</v>
      </c>
      <c r="BC51" s="33">
        <f>_xlfn.FLOOR.MATH((($AI51-1)*Characters!$N$12+Characters!$G$12+$AK$2)*10/2) + _xlfn.FLOOR.MATH((($AI51-1)*Characters!$P$12+Characters!$I$12+$AK$3)*5/2)</f>
        <v>295</v>
      </c>
    </row>
    <row r="52" spans="1:55" ht="18" customHeight="1">
      <c r="A52" s="38">
        <v>45</v>
      </c>
      <c r="B52" s="20">
        <f t="shared" si="3"/>
        <v>15</v>
      </c>
      <c r="C52" s="20">
        <f t="shared" si="4"/>
        <v>13</v>
      </c>
      <c r="D52" s="52">
        <f t="shared" si="5"/>
        <v>26</v>
      </c>
      <c r="E52" s="52">
        <f t="shared" si="9"/>
        <v>78</v>
      </c>
      <c r="F52" s="67">
        <f t="shared" si="12"/>
        <v>67</v>
      </c>
      <c r="G52" s="52">
        <f t="shared" si="13"/>
        <v>696.95</v>
      </c>
      <c r="H52" s="52">
        <f t="shared" si="6"/>
        <v>2090.8500000000004</v>
      </c>
      <c r="I52" s="52">
        <f t="shared" si="7"/>
        <v>1393.9</v>
      </c>
      <c r="J52" s="69">
        <f t="shared" si="10"/>
        <v>23586.299999999996</v>
      </c>
      <c r="K52" s="70">
        <f t="shared" si="14"/>
        <v>40</v>
      </c>
      <c r="L52" s="132"/>
      <c r="M52" s="38">
        <f>Characters!$F$13+((Characters!$M$13 )*(Floor!$F52-1))</f>
        <v>4110</v>
      </c>
      <c r="N52" s="39">
        <f>Characters!$F$14+((Characters!$M$14 )*(Floor!F52-1))</f>
        <v>4110</v>
      </c>
      <c r="O52" s="39">
        <f>Characters!$F$15+((Characters!$M$15 )*(Floor!$F52-1))</f>
        <v>4110</v>
      </c>
      <c r="P52" s="39">
        <f>Characters!$F$16+((Characters!$M$16 )*(Floor!$F52-1))</f>
        <v>4110</v>
      </c>
      <c r="Q52" s="39">
        <f>Characters!$F$17+((Characters!$M$17)*(Floor!$F52-1))</f>
        <v>4110</v>
      </c>
      <c r="R52" s="39">
        <f>Characters!$F$18+((Characters!$M$18 )*(Floor!$F52-1))</f>
        <v>4110</v>
      </c>
      <c r="S52" s="33">
        <f>Characters!$F$19+((Characters!$M$19 )*(Floor!$F52-1))</f>
        <v>4110</v>
      </c>
      <c r="T52" s="38">
        <f>_xlfn.FLOOR.MATH((Characters!$J$13+Characters!$Q$13*(Floor!$F52-1))*5/2)</f>
        <v>515</v>
      </c>
      <c r="U52" s="39">
        <f>_xlfn.FLOOR.MATH((Characters!$J$14+Characters!$Q$14*(Floor!$F52-1))*5/2)</f>
        <v>515</v>
      </c>
      <c r="V52" s="39">
        <f>_xlfn.FLOOR.MATH((Characters!$J$15+Characters!$Q$15*(Floor!$F52-1))*5/2)</f>
        <v>515</v>
      </c>
      <c r="W52" s="39">
        <f>_xlfn.FLOOR.MATH((Characters!$J$16+Characters!$Q$16*(Floor!$F52-1))*5/2)</f>
        <v>515</v>
      </c>
      <c r="X52" s="39">
        <f>_xlfn.FLOOR.MATH((Characters!$J$17+Characters!$Q$17*(Floor!$F52-1))*5/2)</f>
        <v>515</v>
      </c>
      <c r="Y52" s="39">
        <f>_xlfn.FLOOR.MATH((Characters!$J$18+Characters!$Q$18*(Floor!$F52-1))*5/2)</f>
        <v>515</v>
      </c>
      <c r="Z52" s="39">
        <f>_xlfn.FLOOR.MATH((Characters!$J$19+Characters!$Q$19*(Floor!$F52-1))*5/2)</f>
        <v>515</v>
      </c>
      <c r="AA52" s="38">
        <f>_xlfn.FLOOR.MATH((Characters!$G$13+Characters!$N$13*(Floor!$F52-1))*10/2) + _xlfn.FLOOR.MATH((($AI52-1)*Characters!$P$13+Characters!$I$13)*5/2)</f>
        <v>481</v>
      </c>
      <c r="AB52" s="39">
        <f>_xlfn.FLOOR.MATH((Characters!$G$14+Characters!$N$14*(Floor!$F52-1))*10/2) + _xlfn.FLOOR.MATH((($AI52-1)*Characters!$P$14+Characters!$I$14)*5/2)</f>
        <v>481</v>
      </c>
      <c r="AC52" s="39">
        <f>_xlfn.FLOOR.MATH((Characters!$G$15+Characters!$N$15*(Floor!$F52-1))*10/2) + _xlfn.FLOOR.MATH((($AI52-1)*Characters!$P$15+Characters!$I$15)*5/2)</f>
        <v>481</v>
      </c>
      <c r="AD52" s="39">
        <f>_xlfn.FLOOR.MATH((Characters!$G$16+Characters!$N$16*(Floor!$F52-1))*10/2) + _xlfn.FLOOR.MATH((($AI52-1)*Characters!$P$16+Characters!$I$16)*5/2)</f>
        <v>481</v>
      </c>
      <c r="AE52" s="39">
        <f>_xlfn.FLOOR.MATH((Characters!$G$17+Characters!$N$17*(Floor!$F52-1))*10/2) + _xlfn.FLOOR.MATH((($AI52-1)*Characters!$P$17+Characters!$I$17)*5/2)</f>
        <v>481</v>
      </c>
      <c r="AF52" s="39">
        <f>_xlfn.FLOOR.MATH((Characters!$G$18+Characters!$N$18*(Floor!$F52-1))*10/2) + _xlfn.FLOOR.MATH((($AI52-1)*Characters!$P$18+Characters!$I$18)*5/2)</f>
        <v>481</v>
      </c>
      <c r="AG52" s="33">
        <f>_xlfn.FLOOR.MATH((Characters!$G$19+Characters!$N$19*(Floor!$F52-1))*10/2) + _xlfn.FLOOR.MATH((($AI52-1)*Characters!$P$19+Characters!$I$19)*5/2)</f>
        <v>481</v>
      </c>
      <c r="AH52" s="67"/>
      <c r="AI52" s="38">
        <v>45</v>
      </c>
      <c r="AJ52" s="71">
        <f t="shared" si="2"/>
        <v>2027.24</v>
      </c>
      <c r="AK52" s="105">
        <f t="shared" si="11"/>
        <v>31535.4</v>
      </c>
      <c r="AL52" s="38">
        <f>_xlfn.FLOOR.MATH(($AI52-1)*Characters!$M$7+Characters!$F$7)+$AK$5</f>
        <v>5720</v>
      </c>
      <c r="AM52" s="39">
        <f>_xlfn.FLOOR.MATH(($AI52-1)*Characters!$M$8+Characters!$F$8)+$AK$5</f>
        <v>6650</v>
      </c>
      <c r="AN52" s="39">
        <f>_xlfn.FLOOR.MATH(($AI52-1)*Characters!$M$9+Characters!$F$9)+$AK$5</f>
        <v>5430</v>
      </c>
      <c r="AO52" s="39">
        <f>_xlfn.FLOOR.MATH(($AI52-1)*Characters!$M$10+Characters!$F$10)+$AK$5</f>
        <v>5900</v>
      </c>
      <c r="AP52" s="39">
        <f>_xlfn.FLOOR.MATH(($AI52-1)*Characters!$M$11+Characters!$F$11)+$AK$5</f>
        <v>5430</v>
      </c>
      <c r="AQ52" s="39">
        <f>_xlfn.FLOOR.MATH(($AI52-1)*Characters!$M$12+Characters!$F$12)+$AK$5</f>
        <v>6120</v>
      </c>
      <c r="AR52" s="38">
        <f>_xlfn.FLOOR.MATH((($AI52-1)*Characters!$Q$7+Characters!$J$7+$AK$4)*5/2)</f>
        <v>157</v>
      </c>
      <c r="AS52" s="39">
        <f>_xlfn.FLOOR.MATH((($AI52-1)*Characters!$Q$8+Characters!$J$8+$AK$4)*5/2)</f>
        <v>176</v>
      </c>
      <c r="AT52" s="39">
        <f>_xlfn.FLOOR.MATH((($AI52-1)*Characters!$Q$9+Characters!$J$9+$AK$4)*5/2)</f>
        <v>138</v>
      </c>
      <c r="AU52" s="39">
        <f>_xlfn.FLOOR.MATH((($AI52-1)*Characters!$Q$10+Characters!$J$10+$AK$4)*5/2)</f>
        <v>160</v>
      </c>
      <c r="AV52" s="39">
        <f>_xlfn.FLOOR.MATH((($AI52-1)*Characters!$Q$11+Characters!$J$11+$AK$4)*5/2)</f>
        <v>135</v>
      </c>
      <c r="AW52" s="39">
        <f>_xlfn.FLOOR.MATH((($AI52-1)*Characters!$Q$12+Characters!$J$12+$AK$4)*5/2)</f>
        <v>176</v>
      </c>
      <c r="AX52" s="38">
        <f>_xlfn.FLOOR.MATH((($AI52-1)*Characters!$N$7+Characters!$G$7+$AK$2)*10/2) + _xlfn.FLOOR.MATH((($AI52-1)*Characters!$P$7+Characters!$I$7+$AK$3)*5/2)</f>
        <v>202</v>
      </c>
      <c r="AY52" s="39">
        <f>_xlfn.FLOOR.MATH((($AI52-1)*Characters!$N$8+Characters!$G$8+$AK$2)*10/2) + _xlfn.FLOOR.MATH((($AI52-1)*Characters!$P$8+Characters!$I$8+$AK$3)*5/2)</f>
        <v>278</v>
      </c>
      <c r="AZ52" s="39">
        <f>_xlfn.FLOOR.MATH((($AI52-1)*Characters!$N$9+Characters!$G$9+$AK$2)*10/2) + _xlfn.FLOOR.MATH((($AI52-1)*Characters!$P$9+Characters!$I$9+$AK$3)*5/2)</f>
        <v>112</v>
      </c>
      <c r="BA52" s="39">
        <f>_xlfn.FLOOR.MATH((($AI52-1)*Characters!$N$10+Characters!$G$10+$AK$2)*10/2) + _xlfn.FLOOR.MATH((($AI52-1)*Characters!$P$10+Characters!$I$10+$AK$3)*5/2)</f>
        <v>319</v>
      </c>
      <c r="BB52" s="39">
        <f>_xlfn.FLOOR.MATH((($AI52-1)*Characters!$N$11+Characters!$G$11+$AK$2)*10/2) + _xlfn.FLOOR.MATH((($AI52-1)*Characters!$P$11+Characters!$I$11+$AK$3)*5/2)</f>
        <v>125</v>
      </c>
      <c r="BC52" s="33">
        <f>_xlfn.FLOOR.MATH((($AI52-1)*Characters!$N$12+Characters!$G$12+$AK$2)*10/2) + _xlfn.FLOOR.MATH((($AI52-1)*Characters!$P$12+Characters!$I$12+$AK$3)*5/2)</f>
        <v>300</v>
      </c>
    </row>
    <row r="53" spans="1:55" ht="18" customHeight="1">
      <c r="A53" s="38">
        <v>46</v>
      </c>
      <c r="B53" s="20">
        <f t="shared" si="3"/>
        <v>15</v>
      </c>
      <c r="C53" s="20">
        <f t="shared" si="4"/>
        <v>13</v>
      </c>
      <c r="D53" s="52">
        <f t="shared" si="5"/>
        <v>26</v>
      </c>
      <c r="E53" s="52">
        <f t="shared" si="9"/>
        <v>78</v>
      </c>
      <c r="F53" s="67">
        <f t="shared" si="12"/>
        <v>68</v>
      </c>
      <c r="G53" s="52">
        <f t="shared" si="13"/>
        <v>707.35</v>
      </c>
      <c r="H53" s="52">
        <f t="shared" si="6"/>
        <v>2122.0500000000002</v>
      </c>
      <c r="I53" s="52">
        <f t="shared" si="7"/>
        <v>1414.7</v>
      </c>
      <c r="J53" s="69">
        <f t="shared" si="10"/>
        <v>25000.999999999996</v>
      </c>
      <c r="K53" s="70">
        <f t="shared" si="14"/>
        <v>41</v>
      </c>
      <c r="L53" s="132"/>
      <c r="M53" s="38">
        <f>Characters!$F$13+((Characters!$M$13 )*(Floor!$F53-1))</f>
        <v>4170</v>
      </c>
      <c r="N53" s="39">
        <f>Characters!$F$14+((Characters!$M$14 )*(Floor!F53-1))</f>
        <v>4170</v>
      </c>
      <c r="O53" s="39">
        <f>Characters!$F$15+((Characters!$M$15 )*(Floor!$F53-1))</f>
        <v>4170</v>
      </c>
      <c r="P53" s="39">
        <f>Characters!$F$16+((Characters!$M$16 )*(Floor!$F53-1))</f>
        <v>4170</v>
      </c>
      <c r="Q53" s="39">
        <f>Characters!$F$17+((Characters!$M$17)*(Floor!$F53-1))</f>
        <v>4170</v>
      </c>
      <c r="R53" s="39">
        <f>Characters!$F$18+((Characters!$M$18 )*(Floor!$F53-1))</f>
        <v>4170</v>
      </c>
      <c r="S53" s="33">
        <f>Characters!$F$19+((Characters!$M$19 )*(Floor!$F53-1))</f>
        <v>4170</v>
      </c>
      <c r="T53" s="38">
        <f>_xlfn.FLOOR.MATH((Characters!$J$13+Characters!$Q$13*(Floor!$F53-1))*5/2)</f>
        <v>522</v>
      </c>
      <c r="U53" s="39">
        <f>_xlfn.FLOOR.MATH((Characters!$J$14+Characters!$Q$14*(Floor!$F53-1))*5/2)</f>
        <v>522</v>
      </c>
      <c r="V53" s="39">
        <f>_xlfn.FLOOR.MATH((Characters!$J$15+Characters!$Q$15*(Floor!$F53-1))*5/2)</f>
        <v>522</v>
      </c>
      <c r="W53" s="39">
        <f>_xlfn.FLOOR.MATH((Characters!$J$16+Characters!$Q$16*(Floor!$F53-1))*5/2)</f>
        <v>522</v>
      </c>
      <c r="X53" s="39">
        <f>_xlfn.FLOOR.MATH((Characters!$J$17+Characters!$Q$17*(Floor!$F53-1))*5/2)</f>
        <v>522</v>
      </c>
      <c r="Y53" s="39">
        <f>_xlfn.FLOOR.MATH((Characters!$J$18+Characters!$Q$18*(Floor!$F53-1))*5/2)</f>
        <v>522</v>
      </c>
      <c r="Z53" s="39">
        <f>_xlfn.FLOOR.MATH((Characters!$J$19+Characters!$Q$19*(Floor!$F53-1))*5/2)</f>
        <v>522</v>
      </c>
      <c r="AA53" s="38">
        <f>_xlfn.FLOOR.MATH((Characters!$G$13+Characters!$N$13*(Floor!$F53-1))*10/2) + _xlfn.FLOOR.MATH((($AI53-1)*Characters!$P$13+Characters!$I$13)*5/2)</f>
        <v>488</v>
      </c>
      <c r="AB53" s="39">
        <f>_xlfn.FLOOR.MATH((Characters!$G$14+Characters!$N$14*(Floor!$F53-1))*10/2) + _xlfn.FLOOR.MATH((($AI53-1)*Characters!$P$14+Characters!$I$14)*5/2)</f>
        <v>488</v>
      </c>
      <c r="AC53" s="39">
        <f>_xlfn.FLOOR.MATH((Characters!$G$15+Characters!$N$15*(Floor!$F53-1))*10/2) + _xlfn.FLOOR.MATH((($AI53-1)*Characters!$P$15+Characters!$I$15)*5/2)</f>
        <v>488</v>
      </c>
      <c r="AD53" s="39">
        <f>_xlfn.FLOOR.MATH((Characters!$G$16+Characters!$N$16*(Floor!$F53-1))*10/2) + _xlfn.FLOOR.MATH((($AI53-1)*Characters!$P$16+Characters!$I$16)*5/2)</f>
        <v>488</v>
      </c>
      <c r="AE53" s="39">
        <f>_xlfn.FLOOR.MATH((Characters!$G$17+Characters!$N$17*(Floor!$F53-1))*10/2) + _xlfn.FLOOR.MATH((($AI53-1)*Characters!$P$17+Characters!$I$17)*5/2)</f>
        <v>488</v>
      </c>
      <c r="AF53" s="39">
        <f>_xlfn.FLOOR.MATH((Characters!$G$18+Characters!$N$18*(Floor!$F53-1))*10/2) + _xlfn.FLOOR.MATH((($AI53-1)*Characters!$P$18+Characters!$I$18)*5/2)</f>
        <v>488</v>
      </c>
      <c r="AG53" s="33">
        <f>_xlfn.FLOOR.MATH((Characters!$G$19+Characters!$N$19*(Floor!$F53-1))*10/2) + _xlfn.FLOOR.MATH((($AI53-1)*Characters!$P$19+Characters!$I$19)*5/2)</f>
        <v>488</v>
      </c>
      <c r="AH53" s="67"/>
      <c r="AI53" s="38">
        <v>46</v>
      </c>
      <c r="AJ53" s="71">
        <f t="shared" si="2"/>
        <v>2118.1999999999998</v>
      </c>
      <c r="AK53" s="105">
        <f t="shared" si="11"/>
        <v>33653.599999999999</v>
      </c>
      <c r="AL53" s="38">
        <f>_xlfn.FLOOR.MATH(($AI53-1)*Characters!$M$7+Characters!$F$7)+$AK$5</f>
        <v>5750</v>
      </c>
      <c r="AM53" s="39">
        <f>_xlfn.FLOOR.MATH(($AI53-1)*Characters!$M$8+Characters!$F$8)+$AK$5</f>
        <v>6700</v>
      </c>
      <c r="AN53" s="39">
        <f>_xlfn.FLOOR.MATH(($AI53-1)*Characters!$M$9+Characters!$F$9)+$AK$5</f>
        <v>5455</v>
      </c>
      <c r="AO53" s="39">
        <f>_xlfn.FLOOR.MATH(($AI53-1)*Characters!$M$10+Characters!$F$10)+$AK$5</f>
        <v>5935</v>
      </c>
      <c r="AP53" s="39">
        <f>_xlfn.FLOOR.MATH(($AI53-1)*Characters!$M$11+Characters!$F$11)+$AK$5</f>
        <v>5455</v>
      </c>
      <c r="AQ53" s="39">
        <f>_xlfn.FLOOR.MATH(($AI53-1)*Characters!$M$12+Characters!$F$12)+$AK$5</f>
        <v>6160</v>
      </c>
      <c r="AR53" s="38">
        <f>_xlfn.FLOOR.MATH((($AI53-1)*Characters!$Q$7+Characters!$J$7+$AK$4)*5/2)</f>
        <v>158</v>
      </c>
      <c r="AS53" s="39">
        <f>_xlfn.FLOOR.MATH((($AI53-1)*Characters!$Q$8+Characters!$J$8+$AK$4)*5/2)</f>
        <v>177</v>
      </c>
      <c r="AT53" s="39">
        <f>_xlfn.FLOOR.MATH((($AI53-1)*Characters!$Q$9+Characters!$J$9+$AK$4)*5/2)</f>
        <v>138</v>
      </c>
      <c r="AU53" s="39">
        <f>_xlfn.FLOOR.MATH((($AI53-1)*Characters!$Q$10+Characters!$J$10+$AK$4)*5/2)</f>
        <v>161</v>
      </c>
      <c r="AV53" s="39">
        <f>_xlfn.FLOOR.MATH((($AI53-1)*Characters!$Q$11+Characters!$J$11+$AK$4)*5/2)</f>
        <v>136</v>
      </c>
      <c r="AW53" s="39">
        <f>_xlfn.FLOOR.MATH((($AI53-1)*Characters!$Q$12+Characters!$J$12+$AK$4)*5/2)</f>
        <v>177</v>
      </c>
      <c r="AX53" s="38">
        <f>_xlfn.FLOOR.MATH((($AI53-1)*Characters!$N$7+Characters!$G$7+$AK$2)*10/2) + _xlfn.FLOOR.MATH((($AI53-1)*Characters!$P$7+Characters!$I$7+$AK$3)*5/2)</f>
        <v>205</v>
      </c>
      <c r="AY53" s="39">
        <f>_xlfn.FLOOR.MATH((($AI53-1)*Characters!$N$8+Characters!$G$8+$AK$2)*10/2) + _xlfn.FLOOR.MATH((($AI53-1)*Characters!$P$8+Characters!$I$8+$AK$3)*5/2)</f>
        <v>282</v>
      </c>
      <c r="AZ53" s="39">
        <f>_xlfn.FLOOR.MATH((($AI53-1)*Characters!$N$9+Characters!$G$9+$AK$2)*10/2) + _xlfn.FLOOR.MATH((($AI53-1)*Characters!$P$9+Characters!$I$9+$AK$3)*5/2)</f>
        <v>113</v>
      </c>
      <c r="BA53" s="39">
        <f>_xlfn.FLOOR.MATH((($AI53-1)*Characters!$N$10+Characters!$G$10+$AK$2)*10/2) + _xlfn.FLOOR.MATH((($AI53-1)*Characters!$P$10+Characters!$I$10+$AK$3)*5/2)</f>
        <v>324</v>
      </c>
      <c r="BB53" s="39">
        <f>_xlfn.FLOOR.MATH((($AI53-1)*Characters!$N$11+Characters!$G$11+$AK$2)*10/2) + _xlfn.FLOOR.MATH((($AI53-1)*Characters!$P$11+Characters!$I$11+$AK$3)*5/2)</f>
        <v>127</v>
      </c>
      <c r="BC53" s="33">
        <f>_xlfn.FLOOR.MATH((($AI53-1)*Characters!$N$12+Characters!$G$12+$AK$2)*10/2) + _xlfn.FLOOR.MATH((($AI53-1)*Characters!$P$12+Characters!$I$12+$AK$3)*5/2)</f>
        <v>305</v>
      </c>
    </row>
    <row r="54" spans="1:55" ht="18" customHeight="1">
      <c r="A54" s="38">
        <v>47</v>
      </c>
      <c r="B54" s="20">
        <f t="shared" si="3"/>
        <v>15</v>
      </c>
      <c r="C54" s="20">
        <f t="shared" si="4"/>
        <v>13</v>
      </c>
      <c r="D54" s="52">
        <f t="shared" si="5"/>
        <v>26</v>
      </c>
      <c r="E54" s="52">
        <f t="shared" si="9"/>
        <v>78</v>
      </c>
      <c r="F54" s="67">
        <f t="shared" si="12"/>
        <v>70</v>
      </c>
      <c r="G54" s="52">
        <f t="shared" si="13"/>
        <v>728.15</v>
      </c>
      <c r="H54" s="52">
        <f t="shared" si="6"/>
        <v>2184.4499999999998</v>
      </c>
      <c r="I54" s="52">
        <f t="shared" si="7"/>
        <v>1456.3</v>
      </c>
      <c r="J54" s="69">
        <f t="shared" si="10"/>
        <v>26457.299999999996</v>
      </c>
      <c r="K54" s="70">
        <f t="shared" si="14"/>
        <v>42</v>
      </c>
      <c r="L54" s="132"/>
      <c r="M54" s="38">
        <f>Characters!$F$13+((Characters!$M$13 )*(Floor!$F54-1))</f>
        <v>4290</v>
      </c>
      <c r="N54" s="39">
        <f>Characters!$F$14+((Characters!$M$14 )*(Floor!F54-1))</f>
        <v>4290</v>
      </c>
      <c r="O54" s="39">
        <f>Characters!$F$15+((Characters!$M$15 )*(Floor!$F54-1))</f>
        <v>4290</v>
      </c>
      <c r="P54" s="39">
        <f>Characters!$F$16+((Characters!$M$16 )*(Floor!$F54-1))</f>
        <v>4290</v>
      </c>
      <c r="Q54" s="39">
        <f>Characters!$F$17+((Characters!$M$17)*(Floor!$F54-1))</f>
        <v>4290</v>
      </c>
      <c r="R54" s="39">
        <f>Characters!$F$18+((Characters!$M$18 )*(Floor!$F54-1))</f>
        <v>4290</v>
      </c>
      <c r="S54" s="33">
        <f>Characters!$F$19+((Characters!$M$19 )*(Floor!$F54-1))</f>
        <v>4290</v>
      </c>
      <c r="T54" s="38">
        <f>_xlfn.FLOOR.MATH((Characters!$J$13+Characters!$Q$13*(Floor!$F54-1))*5/2)</f>
        <v>537</v>
      </c>
      <c r="U54" s="39">
        <f>_xlfn.FLOOR.MATH((Characters!$J$14+Characters!$Q$14*(Floor!$F54-1))*5/2)</f>
        <v>537</v>
      </c>
      <c r="V54" s="39">
        <f>_xlfn.FLOOR.MATH((Characters!$J$15+Characters!$Q$15*(Floor!$F54-1))*5/2)</f>
        <v>537</v>
      </c>
      <c r="W54" s="39">
        <f>_xlfn.FLOOR.MATH((Characters!$J$16+Characters!$Q$16*(Floor!$F54-1))*5/2)</f>
        <v>537</v>
      </c>
      <c r="X54" s="39">
        <f>_xlfn.FLOOR.MATH((Characters!$J$17+Characters!$Q$17*(Floor!$F54-1))*5/2)</f>
        <v>537</v>
      </c>
      <c r="Y54" s="39">
        <f>_xlfn.FLOOR.MATH((Characters!$J$18+Characters!$Q$18*(Floor!$F54-1))*5/2)</f>
        <v>537</v>
      </c>
      <c r="Z54" s="39">
        <f>_xlfn.FLOOR.MATH((Characters!$J$19+Characters!$Q$19*(Floor!$F54-1))*5/2)</f>
        <v>537</v>
      </c>
      <c r="AA54" s="38">
        <f>_xlfn.FLOOR.MATH((Characters!$G$13+Characters!$N$13*(Floor!$F54-1))*10/2) + _xlfn.FLOOR.MATH((($AI54-1)*Characters!$P$13+Characters!$I$13)*5/2)</f>
        <v>501</v>
      </c>
      <c r="AB54" s="39">
        <f>_xlfn.FLOOR.MATH((Characters!$G$14+Characters!$N$14*(Floor!$F54-1))*10/2) + _xlfn.FLOOR.MATH((($AI54-1)*Characters!$P$14+Characters!$I$14)*5/2)</f>
        <v>501</v>
      </c>
      <c r="AC54" s="39">
        <f>_xlfn.FLOOR.MATH((Characters!$G$15+Characters!$N$15*(Floor!$F54-1))*10/2) + _xlfn.FLOOR.MATH((($AI54-1)*Characters!$P$15+Characters!$I$15)*5/2)</f>
        <v>501</v>
      </c>
      <c r="AD54" s="39">
        <f>_xlfn.FLOOR.MATH((Characters!$G$16+Characters!$N$16*(Floor!$F54-1))*10/2) + _xlfn.FLOOR.MATH((($AI54-1)*Characters!$P$16+Characters!$I$16)*5/2)</f>
        <v>501</v>
      </c>
      <c r="AE54" s="39">
        <f>_xlfn.FLOOR.MATH((Characters!$G$17+Characters!$N$17*(Floor!$F54-1))*10/2) + _xlfn.FLOOR.MATH((($AI54-1)*Characters!$P$17+Characters!$I$17)*5/2)</f>
        <v>501</v>
      </c>
      <c r="AF54" s="39">
        <f>_xlfn.FLOOR.MATH((Characters!$G$18+Characters!$N$18*(Floor!$F54-1))*10/2) + _xlfn.FLOOR.MATH((($AI54-1)*Characters!$P$18+Characters!$I$18)*5/2)</f>
        <v>501</v>
      </c>
      <c r="AG54" s="33">
        <f>_xlfn.FLOOR.MATH((Characters!$G$19+Characters!$N$19*(Floor!$F54-1))*10/2) + _xlfn.FLOOR.MATH((($AI54-1)*Characters!$P$19+Characters!$I$19)*5/2)</f>
        <v>501</v>
      </c>
      <c r="AH54" s="67"/>
      <c r="AI54" s="38">
        <v>47</v>
      </c>
      <c r="AJ54" s="71">
        <f t="shared" si="2"/>
        <v>2211.16</v>
      </c>
      <c r="AK54" s="105">
        <f t="shared" si="11"/>
        <v>35864.759999999995</v>
      </c>
      <c r="AL54" s="38">
        <f>_xlfn.FLOOR.MATH(($AI54-1)*Characters!$M$7+Characters!$F$7)+$AK$5</f>
        <v>5780</v>
      </c>
      <c r="AM54" s="39">
        <f>_xlfn.FLOOR.MATH(($AI54-1)*Characters!$M$8+Characters!$F$8)+$AK$5</f>
        <v>6750</v>
      </c>
      <c r="AN54" s="39">
        <f>_xlfn.FLOOR.MATH(($AI54-1)*Characters!$M$9+Characters!$F$9)+$AK$5</f>
        <v>5480</v>
      </c>
      <c r="AO54" s="39">
        <f>_xlfn.FLOOR.MATH(($AI54-1)*Characters!$M$10+Characters!$F$10)+$AK$5</f>
        <v>5970</v>
      </c>
      <c r="AP54" s="39">
        <f>_xlfn.FLOOR.MATH(($AI54-1)*Characters!$M$11+Characters!$F$11)+$AK$5</f>
        <v>5480</v>
      </c>
      <c r="AQ54" s="39">
        <f>_xlfn.FLOOR.MATH(($AI54-1)*Characters!$M$12+Characters!$F$12)+$AK$5</f>
        <v>6200</v>
      </c>
      <c r="AR54" s="38">
        <f>_xlfn.FLOOR.MATH((($AI54-1)*Characters!$Q$7+Characters!$J$7+$AK$4)*5/2)</f>
        <v>160</v>
      </c>
      <c r="AS54" s="39">
        <f>_xlfn.FLOOR.MATH((($AI54-1)*Characters!$Q$8+Characters!$J$8+$AK$4)*5/2)</f>
        <v>179</v>
      </c>
      <c r="AT54" s="39">
        <f>_xlfn.FLOOR.MATH((($AI54-1)*Characters!$Q$9+Characters!$J$9+$AK$4)*5/2)</f>
        <v>139</v>
      </c>
      <c r="AU54" s="39">
        <f>_xlfn.FLOOR.MATH((($AI54-1)*Characters!$Q$10+Characters!$J$10+$AK$4)*5/2)</f>
        <v>162</v>
      </c>
      <c r="AV54" s="39">
        <f>_xlfn.FLOOR.MATH((($AI54-1)*Characters!$Q$11+Characters!$J$11+$AK$4)*5/2)</f>
        <v>137</v>
      </c>
      <c r="AW54" s="39">
        <f>_xlfn.FLOOR.MATH((($AI54-1)*Characters!$Q$12+Characters!$J$12+$AK$4)*5/2)</f>
        <v>179</v>
      </c>
      <c r="AX54" s="38">
        <f>_xlfn.FLOOR.MATH((($AI54-1)*Characters!$N$7+Characters!$G$7+$AK$2)*10/2) + _xlfn.FLOOR.MATH((($AI54-1)*Characters!$P$7+Characters!$I$7+$AK$3)*5/2)</f>
        <v>210</v>
      </c>
      <c r="AY54" s="39">
        <f>_xlfn.FLOOR.MATH((($AI54-1)*Characters!$N$8+Characters!$G$8+$AK$2)*10/2) + _xlfn.FLOOR.MATH((($AI54-1)*Characters!$P$8+Characters!$I$8+$AK$3)*5/2)</f>
        <v>287</v>
      </c>
      <c r="AZ54" s="39">
        <f>_xlfn.FLOOR.MATH((($AI54-1)*Characters!$N$9+Characters!$G$9+$AK$2)*10/2) + _xlfn.FLOOR.MATH((($AI54-1)*Characters!$P$9+Characters!$I$9+$AK$3)*5/2)</f>
        <v>115</v>
      </c>
      <c r="BA54" s="39">
        <f>_xlfn.FLOOR.MATH((($AI54-1)*Characters!$N$10+Characters!$G$10+$AK$2)*10/2) + _xlfn.FLOOR.MATH((($AI54-1)*Characters!$P$10+Characters!$I$10+$AK$3)*5/2)</f>
        <v>330</v>
      </c>
      <c r="BB54" s="39">
        <f>_xlfn.FLOOR.MATH((($AI54-1)*Characters!$N$11+Characters!$G$11+$AK$2)*10/2) + _xlfn.FLOOR.MATH((($AI54-1)*Characters!$P$11+Characters!$I$11+$AK$3)*5/2)</f>
        <v>129</v>
      </c>
      <c r="BC54" s="33">
        <f>_xlfn.FLOOR.MATH((($AI54-1)*Characters!$N$12+Characters!$G$12+$AK$2)*10/2) + _xlfn.FLOOR.MATH((($AI54-1)*Characters!$P$12+Characters!$I$12+$AK$3)*5/2)</f>
        <v>310</v>
      </c>
    </row>
    <row r="55" spans="1:55" ht="18" customHeight="1">
      <c r="A55" s="38">
        <v>48</v>
      </c>
      <c r="B55" s="20">
        <f t="shared" si="3"/>
        <v>15</v>
      </c>
      <c r="C55" s="20">
        <f t="shared" si="4"/>
        <v>13</v>
      </c>
      <c r="D55" s="52">
        <f t="shared" si="5"/>
        <v>26</v>
      </c>
      <c r="E55" s="52">
        <f t="shared" si="9"/>
        <v>78</v>
      </c>
      <c r="F55" s="67">
        <f t="shared" si="12"/>
        <v>71</v>
      </c>
      <c r="G55" s="52">
        <f t="shared" si="13"/>
        <v>738.55000000000007</v>
      </c>
      <c r="H55" s="52">
        <f t="shared" si="6"/>
        <v>2215.65</v>
      </c>
      <c r="I55" s="52">
        <f t="shared" si="7"/>
        <v>1477.1000000000001</v>
      </c>
      <c r="J55" s="69">
        <f t="shared" si="10"/>
        <v>27934.399999999994</v>
      </c>
      <c r="K55" s="70">
        <f t="shared" si="14"/>
        <v>43</v>
      </c>
      <c r="L55" s="132"/>
      <c r="M55" s="38">
        <f>Characters!$F$13+((Characters!$M$13 )*(Floor!$F55-1))</f>
        <v>4350</v>
      </c>
      <c r="N55" s="39">
        <f>Characters!$F$14+((Characters!$M$14 )*(Floor!F55-1))</f>
        <v>4350</v>
      </c>
      <c r="O55" s="39">
        <f>Characters!$F$15+((Characters!$M$15 )*(Floor!$F55-1))</f>
        <v>4350</v>
      </c>
      <c r="P55" s="39">
        <f>Characters!$F$16+((Characters!$M$16 )*(Floor!$F55-1))</f>
        <v>4350</v>
      </c>
      <c r="Q55" s="39">
        <f>Characters!$F$17+((Characters!$M$17)*(Floor!$F55-1))</f>
        <v>4350</v>
      </c>
      <c r="R55" s="39">
        <f>Characters!$F$18+((Characters!$M$18 )*(Floor!$F55-1))</f>
        <v>4350</v>
      </c>
      <c r="S55" s="33">
        <f>Characters!$F$19+((Characters!$M$19 )*(Floor!$F55-1))</f>
        <v>4350</v>
      </c>
      <c r="T55" s="38">
        <f>_xlfn.FLOOR.MATH((Characters!$J$13+Characters!$Q$13*(Floor!$F55-1))*5/2)</f>
        <v>545</v>
      </c>
      <c r="U55" s="39">
        <f>_xlfn.FLOOR.MATH((Characters!$J$14+Characters!$Q$14*(Floor!$F55-1))*5/2)</f>
        <v>545</v>
      </c>
      <c r="V55" s="39">
        <f>_xlfn.FLOOR.MATH((Characters!$J$15+Characters!$Q$15*(Floor!$F55-1))*5/2)</f>
        <v>545</v>
      </c>
      <c r="W55" s="39">
        <f>_xlfn.FLOOR.MATH((Characters!$J$16+Characters!$Q$16*(Floor!$F55-1))*5/2)</f>
        <v>545</v>
      </c>
      <c r="X55" s="39">
        <f>_xlfn.FLOOR.MATH((Characters!$J$17+Characters!$Q$17*(Floor!$F55-1))*5/2)</f>
        <v>545</v>
      </c>
      <c r="Y55" s="39">
        <f>_xlfn.FLOOR.MATH((Characters!$J$18+Characters!$Q$18*(Floor!$F55-1))*5/2)</f>
        <v>545</v>
      </c>
      <c r="Z55" s="39">
        <f>_xlfn.FLOOR.MATH((Characters!$J$19+Characters!$Q$19*(Floor!$F55-1))*5/2)</f>
        <v>545</v>
      </c>
      <c r="AA55" s="38">
        <f>_xlfn.FLOOR.MATH((Characters!$G$13+Characters!$N$13*(Floor!$F55-1))*10/2) + _xlfn.FLOOR.MATH((($AI55-1)*Characters!$P$13+Characters!$I$13)*5/2)</f>
        <v>508</v>
      </c>
      <c r="AB55" s="39">
        <f>_xlfn.FLOOR.MATH((Characters!$G$14+Characters!$N$14*(Floor!$F55-1))*10/2) + _xlfn.FLOOR.MATH((($AI55-1)*Characters!$P$14+Characters!$I$14)*5/2)</f>
        <v>508</v>
      </c>
      <c r="AC55" s="39">
        <f>_xlfn.FLOOR.MATH((Characters!$G$15+Characters!$N$15*(Floor!$F55-1))*10/2) + _xlfn.FLOOR.MATH((($AI55-1)*Characters!$P$15+Characters!$I$15)*5/2)</f>
        <v>508</v>
      </c>
      <c r="AD55" s="39">
        <f>_xlfn.FLOOR.MATH((Characters!$G$16+Characters!$N$16*(Floor!$F55-1))*10/2) + _xlfn.FLOOR.MATH((($AI55-1)*Characters!$P$16+Characters!$I$16)*5/2)</f>
        <v>508</v>
      </c>
      <c r="AE55" s="39">
        <f>_xlfn.FLOOR.MATH((Characters!$G$17+Characters!$N$17*(Floor!$F55-1))*10/2) + _xlfn.FLOOR.MATH((($AI55-1)*Characters!$P$17+Characters!$I$17)*5/2)</f>
        <v>508</v>
      </c>
      <c r="AF55" s="39">
        <f>_xlfn.FLOOR.MATH((Characters!$G$18+Characters!$N$18*(Floor!$F55-1))*10/2) + _xlfn.FLOOR.MATH((($AI55-1)*Characters!$P$18+Characters!$I$18)*5/2)</f>
        <v>508</v>
      </c>
      <c r="AG55" s="33">
        <f>_xlfn.FLOOR.MATH((Characters!$G$19+Characters!$N$19*(Floor!$F55-1))*10/2) + _xlfn.FLOOR.MATH((($AI55-1)*Characters!$P$19+Characters!$I$19)*5/2)</f>
        <v>508</v>
      </c>
      <c r="AH55" s="67"/>
      <c r="AI55" s="38">
        <v>48</v>
      </c>
      <c r="AJ55" s="71">
        <f t="shared" si="2"/>
        <v>2306.12</v>
      </c>
      <c r="AK55" s="105">
        <f t="shared" si="11"/>
        <v>38170.879999999997</v>
      </c>
      <c r="AL55" s="38">
        <f>_xlfn.FLOOR.MATH(($AI55-1)*Characters!$M$7+Characters!$F$7)+$AK$5</f>
        <v>5810</v>
      </c>
      <c r="AM55" s="39">
        <f>_xlfn.FLOOR.MATH(($AI55-1)*Characters!$M$8+Characters!$F$8)+$AK$5</f>
        <v>6800</v>
      </c>
      <c r="AN55" s="39">
        <f>_xlfn.FLOOR.MATH(($AI55-1)*Characters!$M$9+Characters!$F$9)+$AK$5</f>
        <v>5505</v>
      </c>
      <c r="AO55" s="39">
        <f>_xlfn.FLOOR.MATH(($AI55-1)*Characters!$M$10+Characters!$F$10)+$AK$5</f>
        <v>6005</v>
      </c>
      <c r="AP55" s="39">
        <f>_xlfn.FLOOR.MATH(($AI55-1)*Characters!$M$11+Characters!$F$11)+$AK$5</f>
        <v>5505</v>
      </c>
      <c r="AQ55" s="39">
        <f>_xlfn.FLOOR.MATH(($AI55-1)*Characters!$M$12+Characters!$F$12)+$AK$5</f>
        <v>6240</v>
      </c>
      <c r="AR55" s="38">
        <f>_xlfn.FLOOR.MATH((($AI55-1)*Characters!$Q$7+Characters!$J$7+$AK$4)*5/2)</f>
        <v>161</v>
      </c>
      <c r="AS55" s="39">
        <f>_xlfn.FLOOR.MATH((($AI55-1)*Characters!$Q$8+Characters!$J$8+$AK$4)*5/2)</f>
        <v>180</v>
      </c>
      <c r="AT55" s="39">
        <f>_xlfn.FLOOR.MATH((($AI55-1)*Characters!$Q$9+Characters!$J$9+$AK$4)*5/2)</f>
        <v>140</v>
      </c>
      <c r="AU55" s="39">
        <f>_xlfn.FLOOR.MATH((($AI55-1)*Characters!$Q$10+Characters!$J$10+$AK$4)*5/2)</f>
        <v>163</v>
      </c>
      <c r="AV55" s="39">
        <f>_xlfn.FLOOR.MATH((($AI55-1)*Characters!$Q$11+Characters!$J$11+$AK$4)*5/2)</f>
        <v>137</v>
      </c>
      <c r="AW55" s="39">
        <f>_xlfn.FLOOR.MATH((($AI55-1)*Characters!$Q$12+Characters!$J$12+$AK$4)*5/2)</f>
        <v>180</v>
      </c>
      <c r="AX55" s="38">
        <f>_xlfn.FLOOR.MATH((($AI55-1)*Characters!$N$7+Characters!$G$7+$AK$2)*10/2) + _xlfn.FLOOR.MATH((($AI55-1)*Characters!$P$7+Characters!$I$7+$AK$3)*5/2)</f>
        <v>213</v>
      </c>
      <c r="AY55" s="39">
        <f>_xlfn.FLOOR.MATH((($AI55-1)*Characters!$N$8+Characters!$G$8+$AK$2)*10/2) + _xlfn.FLOOR.MATH((($AI55-1)*Characters!$P$8+Characters!$I$8+$AK$3)*5/2)</f>
        <v>291</v>
      </c>
      <c r="AZ55" s="39">
        <f>_xlfn.FLOOR.MATH((($AI55-1)*Characters!$N$9+Characters!$G$9+$AK$2)*10/2) + _xlfn.FLOOR.MATH((($AI55-1)*Characters!$P$9+Characters!$I$9+$AK$3)*5/2)</f>
        <v>117</v>
      </c>
      <c r="BA55" s="39">
        <f>_xlfn.FLOOR.MATH((($AI55-1)*Characters!$N$10+Characters!$G$10+$AK$2)*10/2) + _xlfn.FLOOR.MATH((($AI55-1)*Characters!$P$10+Characters!$I$10+$AK$3)*5/2)</f>
        <v>335</v>
      </c>
      <c r="BB55" s="39">
        <f>_xlfn.FLOOR.MATH((($AI55-1)*Characters!$N$11+Characters!$G$11+$AK$2)*10/2) + _xlfn.FLOOR.MATH((($AI55-1)*Characters!$P$11+Characters!$I$11+$AK$3)*5/2)</f>
        <v>131</v>
      </c>
      <c r="BC55" s="33">
        <f>_xlfn.FLOOR.MATH((($AI55-1)*Characters!$N$12+Characters!$G$12+$AK$2)*10/2) + _xlfn.FLOOR.MATH((($AI55-1)*Characters!$P$12+Characters!$I$12+$AK$3)*5/2)</f>
        <v>315</v>
      </c>
    </row>
    <row r="56" spans="1:55" ht="18" customHeight="1">
      <c r="A56" s="38">
        <v>49</v>
      </c>
      <c r="B56" s="20">
        <f t="shared" si="3"/>
        <v>15</v>
      </c>
      <c r="C56" s="20">
        <f t="shared" si="4"/>
        <v>13</v>
      </c>
      <c r="D56" s="52">
        <f t="shared" si="5"/>
        <v>26</v>
      </c>
      <c r="E56" s="52">
        <f t="shared" si="9"/>
        <v>78</v>
      </c>
      <c r="F56" s="67">
        <f t="shared" si="12"/>
        <v>73</v>
      </c>
      <c r="G56" s="52">
        <f t="shared" si="13"/>
        <v>759.35</v>
      </c>
      <c r="H56" s="52">
        <f t="shared" si="6"/>
        <v>2278.0500000000002</v>
      </c>
      <c r="I56" s="52">
        <f t="shared" si="7"/>
        <v>1518.7</v>
      </c>
      <c r="J56" s="69">
        <f t="shared" si="10"/>
        <v>29453.099999999995</v>
      </c>
      <c r="K56" s="70">
        <f t="shared" si="14"/>
        <v>43</v>
      </c>
      <c r="L56" s="132"/>
      <c r="M56" s="38">
        <f>Characters!$F$13+((Characters!$M$13 )*(Floor!$F56-1))</f>
        <v>4470</v>
      </c>
      <c r="N56" s="39">
        <f>Characters!$F$14+((Characters!$M$14 )*(Floor!F56-1))</f>
        <v>4470</v>
      </c>
      <c r="O56" s="39">
        <f>Characters!$F$15+((Characters!$M$15 )*(Floor!$F56-1))</f>
        <v>4470</v>
      </c>
      <c r="P56" s="39">
        <f>Characters!$F$16+((Characters!$M$16 )*(Floor!$F56-1))</f>
        <v>4470</v>
      </c>
      <c r="Q56" s="39">
        <f>Characters!$F$17+((Characters!$M$17)*(Floor!$F56-1))</f>
        <v>4470</v>
      </c>
      <c r="R56" s="39">
        <f>Characters!$F$18+((Characters!$M$18 )*(Floor!$F56-1))</f>
        <v>4470</v>
      </c>
      <c r="S56" s="33">
        <f>Characters!$F$19+((Characters!$M$19 )*(Floor!$F56-1))</f>
        <v>4470</v>
      </c>
      <c r="T56" s="38">
        <f>_xlfn.FLOOR.MATH((Characters!$J$13+Characters!$Q$13*(Floor!$F56-1))*5/2)</f>
        <v>560</v>
      </c>
      <c r="U56" s="39">
        <f>_xlfn.FLOOR.MATH((Characters!$J$14+Characters!$Q$14*(Floor!$F56-1))*5/2)</f>
        <v>560</v>
      </c>
      <c r="V56" s="39">
        <f>_xlfn.FLOOR.MATH((Characters!$J$15+Characters!$Q$15*(Floor!$F56-1))*5/2)</f>
        <v>560</v>
      </c>
      <c r="W56" s="39">
        <f>_xlfn.FLOOR.MATH((Characters!$J$16+Characters!$Q$16*(Floor!$F56-1))*5/2)</f>
        <v>560</v>
      </c>
      <c r="X56" s="39">
        <f>_xlfn.FLOOR.MATH((Characters!$J$17+Characters!$Q$17*(Floor!$F56-1))*5/2)</f>
        <v>560</v>
      </c>
      <c r="Y56" s="39">
        <f>_xlfn.FLOOR.MATH((Characters!$J$18+Characters!$Q$18*(Floor!$F56-1))*5/2)</f>
        <v>560</v>
      </c>
      <c r="Z56" s="39">
        <f>_xlfn.FLOOR.MATH((Characters!$J$19+Characters!$Q$19*(Floor!$F56-1))*5/2)</f>
        <v>560</v>
      </c>
      <c r="AA56" s="38">
        <f>_xlfn.FLOOR.MATH((Characters!$G$13+Characters!$N$13*(Floor!$F56-1))*10/2) + _xlfn.FLOOR.MATH((($AI56-1)*Characters!$P$13+Characters!$I$13)*5/2)</f>
        <v>522</v>
      </c>
      <c r="AB56" s="39">
        <f>_xlfn.FLOOR.MATH((Characters!$G$14+Characters!$N$14*(Floor!$F56-1))*10/2) + _xlfn.FLOOR.MATH((($AI56-1)*Characters!$P$14+Characters!$I$14)*5/2)</f>
        <v>522</v>
      </c>
      <c r="AC56" s="39">
        <f>_xlfn.FLOOR.MATH((Characters!$G$15+Characters!$N$15*(Floor!$F56-1))*10/2) + _xlfn.FLOOR.MATH((($AI56-1)*Characters!$P$15+Characters!$I$15)*5/2)</f>
        <v>522</v>
      </c>
      <c r="AD56" s="39">
        <f>_xlfn.FLOOR.MATH((Characters!$G$16+Characters!$N$16*(Floor!$F56-1))*10/2) + _xlfn.FLOOR.MATH((($AI56-1)*Characters!$P$16+Characters!$I$16)*5/2)</f>
        <v>522</v>
      </c>
      <c r="AE56" s="39">
        <f>_xlfn.FLOOR.MATH((Characters!$G$17+Characters!$N$17*(Floor!$F56-1))*10/2) + _xlfn.FLOOR.MATH((($AI56-1)*Characters!$P$17+Characters!$I$17)*5/2)</f>
        <v>522</v>
      </c>
      <c r="AF56" s="39">
        <f>_xlfn.FLOOR.MATH((Characters!$G$18+Characters!$N$18*(Floor!$F56-1))*10/2) + _xlfn.FLOOR.MATH((($AI56-1)*Characters!$P$18+Characters!$I$18)*5/2)</f>
        <v>522</v>
      </c>
      <c r="AG56" s="33">
        <f>_xlfn.FLOOR.MATH((Characters!$G$19+Characters!$N$19*(Floor!$F56-1))*10/2) + _xlfn.FLOOR.MATH((($AI56-1)*Characters!$P$19+Characters!$I$19)*5/2)</f>
        <v>522</v>
      </c>
      <c r="AH56" s="67"/>
      <c r="AI56" s="38">
        <v>49</v>
      </c>
      <c r="AJ56" s="71">
        <f t="shared" si="2"/>
        <v>2403.08</v>
      </c>
      <c r="AK56" s="105">
        <f t="shared" si="11"/>
        <v>40573.96</v>
      </c>
      <c r="AL56" s="38">
        <f>_xlfn.FLOOR.MATH(($AI56-1)*Characters!$M$7+Characters!$F$7)+$AK$5</f>
        <v>5840</v>
      </c>
      <c r="AM56" s="39">
        <f>_xlfn.FLOOR.MATH(($AI56-1)*Characters!$M$8+Characters!$F$8)+$AK$5</f>
        <v>6850</v>
      </c>
      <c r="AN56" s="39">
        <f>_xlfn.FLOOR.MATH(($AI56-1)*Characters!$M$9+Characters!$F$9)+$AK$5</f>
        <v>5530</v>
      </c>
      <c r="AO56" s="39">
        <f>_xlfn.FLOOR.MATH(($AI56-1)*Characters!$M$10+Characters!$F$10)+$AK$5</f>
        <v>6040</v>
      </c>
      <c r="AP56" s="39">
        <f>_xlfn.FLOOR.MATH(($AI56-1)*Characters!$M$11+Characters!$F$11)+$AK$5</f>
        <v>5530</v>
      </c>
      <c r="AQ56" s="39">
        <f>_xlfn.FLOOR.MATH(($AI56-1)*Characters!$M$12+Characters!$F$12)+$AK$5</f>
        <v>6280</v>
      </c>
      <c r="AR56" s="38">
        <f>_xlfn.FLOOR.MATH((($AI56-1)*Characters!$Q$7+Characters!$J$7+$AK$4)*5/2)</f>
        <v>162</v>
      </c>
      <c r="AS56" s="39">
        <f>_xlfn.FLOOR.MATH((($AI56-1)*Characters!$Q$8+Characters!$J$8+$AK$4)*5/2)</f>
        <v>182</v>
      </c>
      <c r="AT56" s="39">
        <f>_xlfn.FLOOR.MATH((($AI56-1)*Characters!$Q$9+Characters!$J$9+$AK$4)*5/2)</f>
        <v>141</v>
      </c>
      <c r="AU56" s="39">
        <f>_xlfn.FLOOR.MATH((($AI56-1)*Characters!$Q$10+Characters!$J$10+$AK$4)*5/2)</f>
        <v>165</v>
      </c>
      <c r="AV56" s="39">
        <f>_xlfn.FLOOR.MATH((($AI56-1)*Characters!$Q$11+Characters!$J$11+$AK$4)*5/2)</f>
        <v>138</v>
      </c>
      <c r="AW56" s="39">
        <f>_xlfn.FLOOR.MATH((($AI56-1)*Characters!$Q$12+Characters!$J$12+$AK$4)*5/2)</f>
        <v>182</v>
      </c>
      <c r="AX56" s="38">
        <f>_xlfn.FLOOR.MATH((($AI56-1)*Characters!$N$7+Characters!$G$7+$AK$2)*10/2) + _xlfn.FLOOR.MATH((($AI56-1)*Characters!$P$7+Characters!$I$7+$AK$3)*5/2)</f>
        <v>217</v>
      </c>
      <c r="AY56" s="39">
        <f>_xlfn.FLOOR.MATH((($AI56-1)*Characters!$N$8+Characters!$G$8+$AK$2)*10/2) + _xlfn.FLOOR.MATH((($AI56-1)*Characters!$P$8+Characters!$I$8+$AK$3)*5/2)</f>
        <v>296</v>
      </c>
      <c r="AZ56" s="39">
        <f>_xlfn.FLOOR.MATH((($AI56-1)*Characters!$N$9+Characters!$G$9+$AK$2)*10/2) + _xlfn.FLOOR.MATH((($AI56-1)*Characters!$P$9+Characters!$I$9+$AK$3)*5/2)</f>
        <v>119</v>
      </c>
      <c r="BA56" s="39">
        <f>_xlfn.FLOOR.MATH((($AI56-1)*Characters!$N$10+Characters!$G$10+$AK$2)*10/2) + _xlfn.FLOOR.MATH((($AI56-1)*Characters!$P$10+Characters!$I$10+$AK$3)*5/2)</f>
        <v>341</v>
      </c>
      <c r="BB56" s="39">
        <f>_xlfn.FLOOR.MATH((($AI56-1)*Characters!$N$11+Characters!$G$11+$AK$2)*10/2) + _xlfn.FLOOR.MATH((($AI56-1)*Characters!$P$11+Characters!$I$11+$AK$3)*5/2)</f>
        <v>133</v>
      </c>
      <c r="BC56" s="33">
        <f>_xlfn.FLOOR.MATH((($AI56-1)*Characters!$N$12+Characters!$G$12+$AK$2)*10/2) + _xlfn.FLOOR.MATH((($AI56-1)*Characters!$P$12+Characters!$I$12+$AK$3)*5/2)</f>
        <v>320</v>
      </c>
    </row>
    <row r="57" spans="1:55" ht="18" customHeight="1">
      <c r="A57" s="38">
        <v>50</v>
      </c>
      <c r="B57" s="20">
        <f t="shared" si="3"/>
        <v>16</v>
      </c>
      <c r="C57" s="20">
        <f t="shared" si="4"/>
        <v>14</v>
      </c>
      <c r="D57" s="52">
        <f t="shared" si="5"/>
        <v>28</v>
      </c>
      <c r="E57" s="52">
        <f t="shared" si="9"/>
        <v>84</v>
      </c>
      <c r="F57" s="67">
        <f t="shared" si="12"/>
        <v>74</v>
      </c>
      <c r="G57" s="52">
        <f t="shared" si="13"/>
        <v>828.95</v>
      </c>
      <c r="H57" s="52">
        <f t="shared" si="6"/>
        <v>2486.8500000000004</v>
      </c>
      <c r="I57" s="52">
        <f t="shared" si="7"/>
        <v>1657.9</v>
      </c>
      <c r="J57" s="69">
        <f t="shared" si="10"/>
        <v>31110.999999999996</v>
      </c>
      <c r="K57" s="70">
        <f t="shared" si="14"/>
        <v>44</v>
      </c>
      <c r="L57" s="132"/>
      <c r="M57" s="38">
        <f>Characters!$F$13+((Characters!$M$13 )*(Floor!$F57-1))</f>
        <v>4530</v>
      </c>
      <c r="N57" s="39">
        <f>Characters!$F$14+((Characters!$M$14 )*(Floor!F57-1))</f>
        <v>4530</v>
      </c>
      <c r="O57" s="39">
        <f>Characters!$F$15+((Characters!$M$15 )*(Floor!$F57-1))</f>
        <v>4530</v>
      </c>
      <c r="P57" s="39">
        <f>Characters!$F$16+((Characters!$M$16 )*(Floor!$F57-1))</f>
        <v>4530</v>
      </c>
      <c r="Q57" s="39">
        <f>Characters!$F$17+((Characters!$M$17)*(Floor!$F57-1))</f>
        <v>4530</v>
      </c>
      <c r="R57" s="39">
        <f>Characters!$F$18+((Characters!$M$18 )*(Floor!$F57-1))</f>
        <v>4530</v>
      </c>
      <c r="S57" s="33">
        <f>Characters!$F$19+((Characters!$M$19 )*(Floor!$F57-1))</f>
        <v>4530</v>
      </c>
      <c r="T57" s="38">
        <f>_xlfn.FLOOR.MATH((Characters!$J$13+Characters!$Q$13*(Floor!$F57-1))*5/2)</f>
        <v>567</v>
      </c>
      <c r="U57" s="39">
        <f>_xlfn.FLOOR.MATH((Characters!$J$14+Characters!$Q$14*(Floor!$F57-1))*5/2)</f>
        <v>567</v>
      </c>
      <c r="V57" s="39">
        <f>_xlfn.FLOOR.MATH((Characters!$J$15+Characters!$Q$15*(Floor!$F57-1))*5/2)</f>
        <v>567</v>
      </c>
      <c r="W57" s="39">
        <f>_xlfn.FLOOR.MATH((Characters!$J$16+Characters!$Q$16*(Floor!$F57-1))*5/2)</f>
        <v>567</v>
      </c>
      <c r="X57" s="39">
        <f>_xlfn.FLOOR.MATH((Characters!$J$17+Characters!$Q$17*(Floor!$F57-1))*5/2)</f>
        <v>567</v>
      </c>
      <c r="Y57" s="39">
        <f>_xlfn.FLOOR.MATH((Characters!$J$18+Characters!$Q$18*(Floor!$F57-1))*5/2)</f>
        <v>567</v>
      </c>
      <c r="Z57" s="39">
        <f>_xlfn.FLOOR.MATH((Characters!$J$19+Characters!$Q$19*(Floor!$F57-1))*5/2)</f>
        <v>567</v>
      </c>
      <c r="AA57" s="38">
        <f>_xlfn.FLOOR.MATH((Characters!$G$13+Characters!$N$13*(Floor!$F57-1))*10/2) + _xlfn.FLOOR.MATH((($AI57-1)*Characters!$P$13+Characters!$I$13)*5/2)</f>
        <v>529</v>
      </c>
      <c r="AB57" s="39">
        <f>_xlfn.FLOOR.MATH((Characters!$G$14+Characters!$N$14*(Floor!$F57-1))*10/2) + _xlfn.FLOOR.MATH((($AI57-1)*Characters!$P$14+Characters!$I$14)*5/2)</f>
        <v>529</v>
      </c>
      <c r="AC57" s="39">
        <f>_xlfn.FLOOR.MATH((Characters!$G$15+Characters!$N$15*(Floor!$F57-1))*10/2) + _xlfn.FLOOR.MATH((($AI57-1)*Characters!$P$15+Characters!$I$15)*5/2)</f>
        <v>529</v>
      </c>
      <c r="AD57" s="39">
        <f>_xlfn.FLOOR.MATH((Characters!$G$16+Characters!$N$16*(Floor!$F57-1))*10/2) + _xlfn.FLOOR.MATH((($AI57-1)*Characters!$P$16+Characters!$I$16)*5/2)</f>
        <v>529</v>
      </c>
      <c r="AE57" s="39">
        <f>_xlfn.FLOOR.MATH((Characters!$G$17+Characters!$N$17*(Floor!$F57-1))*10/2) + _xlfn.FLOOR.MATH((($AI57-1)*Characters!$P$17+Characters!$I$17)*5/2)</f>
        <v>529</v>
      </c>
      <c r="AF57" s="39">
        <f>_xlfn.FLOOR.MATH((Characters!$G$18+Characters!$N$18*(Floor!$F57-1))*10/2) + _xlfn.FLOOR.MATH((($AI57-1)*Characters!$P$18+Characters!$I$18)*5/2)</f>
        <v>529</v>
      </c>
      <c r="AG57" s="33">
        <f>_xlfn.FLOOR.MATH((Characters!$G$19+Characters!$N$19*(Floor!$F57-1))*10/2) + _xlfn.FLOOR.MATH((($AI57-1)*Characters!$P$19+Characters!$I$19)*5/2)</f>
        <v>529</v>
      </c>
      <c r="AH57" s="67"/>
      <c r="AI57" s="38">
        <v>50</v>
      </c>
      <c r="AJ57" s="71">
        <f t="shared" si="2"/>
        <v>2502.04</v>
      </c>
      <c r="AK57" s="105">
        <f t="shared" si="11"/>
        <v>43076</v>
      </c>
      <c r="AL57" s="38">
        <f>_xlfn.FLOOR.MATH(($AI57-1)*Characters!$M$7+Characters!$F$7)+$AK$5</f>
        <v>5870</v>
      </c>
      <c r="AM57" s="39">
        <f>_xlfn.FLOOR.MATH(($AI57-1)*Characters!$M$8+Characters!$F$8)+$AK$5</f>
        <v>6900</v>
      </c>
      <c r="AN57" s="39">
        <f>_xlfn.FLOOR.MATH(($AI57-1)*Characters!$M$9+Characters!$F$9)+$AK$5</f>
        <v>5555</v>
      </c>
      <c r="AO57" s="39">
        <f>_xlfn.FLOOR.MATH(($AI57-1)*Characters!$M$10+Characters!$F$10)+$AK$5</f>
        <v>6075</v>
      </c>
      <c r="AP57" s="39">
        <f>_xlfn.FLOOR.MATH(($AI57-1)*Characters!$M$11+Characters!$F$11)+$AK$5</f>
        <v>5555</v>
      </c>
      <c r="AQ57" s="39">
        <f>_xlfn.FLOOR.MATH(($AI57-1)*Characters!$M$12+Characters!$F$12)+$AK$5</f>
        <v>6320</v>
      </c>
      <c r="AR57" s="38">
        <f>_xlfn.FLOOR.MATH((($AI57-1)*Characters!$Q$7+Characters!$J$7+$AK$4)*5/2)</f>
        <v>163</v>
      </c>
      <c r="AS57" s="39">
        <f>_xlfn.FLOOR.MATH((($AI57-1)*Characters!$Q$8+Characters!$J$8+$AK$4)*5/2)</f>
        <v>183</v>
      </c>
      <c r="AT57" s="39">
        <f>_xlfn.FLOOR.MATH((($AI57-1)*Characters!$Q$9+Characters!$J$9+$AK$4)*5/2)</f>
        <v>141</v>
      </c>
      <c r="AU57" s="39">
        <f>_xlfn.FLOOR.MATH((($AI57-1)*Characters!$Q$10+Characters!$J$10+$AK$4)*5/2)</f>
        <v>166</v>
      </c>
      <c r="AV57" s="39">
        <f>_xlfn.FLOOR.MATH((($AI57-1)*Characters!$Q$11+Characters!$J$11+$AK$4)*5/2)</f>
        <v>139</v>
      </c>
      <c r="AW57" s="39">
        <f>_xlfn.FLOOR.MATH((($AI57-1)*Characters!$Q$12+Characters!$J$12+$AK$4)*5/2)</f>
        <v>183</v>
      </c>
      <c r="AX57" s="38">
        <f>_xlfn.FLOOR.MATH((($AI57-1)*Characters!$N$7+Characters!$G$7+$AK$2)*10/2) + _xlfn.FLOOR.MATH((($AI57-1)*Characters!$P$7+Characters!$I$7+$AK$3)*5/2)</f>
        <v>220</v>
      </c>
      <c r="AY57" s="39">
        <f>_xlfn.FLOOR.MATH((($AI57-1)*Characters!$N$8+Characters!$G$8+$AK$2)*10/2) + _xlfn.FLOOR.MATH((($AI57-1)*Characters!$P$8+Characters!$I$8+$AK$3)*5/2)</f>
        <v>300</v>
      </c>
      <c r="AZ57" s="39">
        <f>_xlfn.FLOOR.MATH((($AI57-1)*Characters!$N$9+Characters!$G$9+$AK$2)*10/2) + _xlfn.FLOOR.MATH((($AI57-1)*Characters!$P$9+Characters!$I$9+$AK$3)*5/2)</f>
        <v>120</v>
      </c>
      <c r="BA57" s="39">
        <f>_xlfn.FLOOR.MATH((($AI57-1)*Characters!$N$10+Characters!$G$10+$AK$2)*10/2) + _xlfn.FLOOR.MATH((($AI57-1)*Characters!$P$10+Characters!$I$10+$AK$3)*5/2)</f>
        <v>346</v>
      </c>
      <c r="BB57" s="39">
        <f>_xlfn.FLOOR.MATH((($AI57-1)*Characters!$N$11+Characters!$G$11+$AK$2)*10/2) + _xlfn.FLOOR.MATH((($AI57-1)*Characters!$P$11+Characters!$I$11+$AK$3)*5/2)</f>
        <v>135</v>
      </c>
      <c r="BC57" s="33">
        <f>_xlfn.FLOOR.MATH((($AI57-1)*Characters!$N$12+Characters!$G$12+$AK$2)*10/2) + _xlfn.FLOOR.MATH((($AI57-1)*Characters!$P$12+Characters!$I$12+$AK$3)*5/2)</f>
        <v>325</v>
      </c>
    </row>
    <row r="58" spans="1:55" ht="18" customHeight="1">
      <c r="A58" s="38">
        <v>51</v>
      </c>
      <c r="B58" s="20">
        <f t="shared" si="3"/>
        <v>16</v>
      </c>
      <c r="C58" s="20">
        <f t="shared" si="4"/>
        <v>14</v>
      </c>
      <c r="D58" s="52">
        <f t="shared" si="5"/>
        <v>28</v>
      </c>
      <c r="E58" s="52">
        <f t="shared" si="9"/>
        <v>84</v>
      </c>
      <c r="F58" s="67">
        <f t="shared" si="12"/>
        <v>76</v>
      </c>
      <c r="G58" s="52">
        <f t="shared" si="13"/>
        <v>851.35</v>
      </c>
      <c r="H58" s="52">
        <f t="shared" si="6"/>
        <v>2554.0500000000002</v>
      </c>
      <c r="I58" s="52">
        <f t="shared" si="7"/>
        <v>1702.7</v>
      </c>
      <c r="J58" s="69">
        <f t="shared" si="10"/>
        <v>32813.699999999997</v>
      </c>
      <c r="K58" s="70">
        <f t="shared" si="14"/>
        <v>45</v>
      </c>
      <c r="L58" s="132"/>
      <c r="M58" s="38">
        <f>Characters!$F$13+((Characters!$M$13 )*(Floor!$F58-1))</f>
        <v>4650</v>
      </c>
      <c r="N58" s="39">
        <f>Characters!$F$14+((Characters!$M$14 )*(Floor!F58-1))</f>
        <v>4650</v>
      </c>
      <c r="O58" s="39">
        <f>Characters!$F$15+((Characters!$M$15 )*(Floor!$F58-1))</f>
        <v>4650</v>
      </c>
      <c r="P58" s="39">
        <f>Characters!$F$16+((Characters!$M$16 )*(Floor!$F58-1))</f>
        <v>4650</v>
      </c>
      <c r="Q58" s="39">
        <f>Characters!$F$17+((Characters!$M$17)*(Floor!$F58-1))</f>
        <v>4650</v>
      </c>
      <c r="R58" s="39">
        <f>Characters!$F$18+((Characters!$M$18 )*(Floor!$F58-1))</f>
        <v>4650</v>
      </c>
      <c r="S58" s="33">
        <f>Characters!$F$19+((Characters!$M$19 )*(Floor!$F58-1))</f>
        <v>4650</v>
      </c>
      <c r="T58" s="38">
        <f>_xlfn.FLOOR.MATH((Characters!$J$13+Characters!$Q$13*(Floor!$F58-1))*5/2)</f>
        <v>582</v>
      </c>
      <c r="U58" s="39">
        <f>_xlfn.FLOOR.MATH((Characters!$J$14+Characters!$Q$14*(Floor!$F58-1))*5/2)</f>
        <v>582</v>
      </c>
      <c r="V58" s="39">
        <f>_xlfn.FLOOR.MATH((Characters!$J$15+Characters!$Q$15*(Floor!$F58-1))*5/2)</f>
        <v>582</v>
      </c>
      <c r="W58" s="39">
        <f>_xlfn.FLOOR.MATH((Characters!$J$16+Characters!$Q$16*(Floor!$F58-1))*5/2)</f>
        <v>582</v>
      </c>
      <c r="X58" s="39">
        <f>_xlfn.FLOOR.MATH((Characters!$J$17+Characters!$Q$17*(Floor!$F58-1))*5/2)</f>
        <v>582</v>
      </c>
      <c r="Y58" s="39">
        <f>_xlfn.FLOOR.MATH((Characters!$J$18+Characters!$Q$18*(Floor!$F58-1))*5/2)</f>
        <v>582</v>
      </c>
      <c r="Z58" s="39">
        <f>_xlfn.FLOOR.MATH((Characters!$J$19+Characters!$Q$19*(Floor!$F58-1))*5/2)</f>
        <v>582</v>
      </c>
      <c r="AA58" s="38">
        <f>_xlfn.FLOOR.MATH((Characters!$G$13+Characters!$N$13*(Floor!$F58-1))*10/2) + _xlfn.FLOOR.MATH((($AI58-1)*Characters!$P$13+Characters!$I$13)*5/2)</f>
        <v>542</v>
      </c>
      <c r="AB58" s="39">
        <f>_xlfn.FLOOR.MATH((Characters!$G$14+Characters!$N$14*(Floor!$F58-1))*10/2) + _xlfn.FLOOR.MATH((($AI58-1)*Characters!$P$14+Characters!$I$14)*5/2)</f>
        <v>542</v>
      </c>
      <c r="AC58" s="39">
        <f>_xlfn.FLOOR.MATH((Characters!$G$15+Characters!$N$15*(Floor!$F58-1))*10/2) + _xlfn.FLOOR.MATH((($AI58-1)*Characters!$P$15+Characters!$I$15)*5/2)</f>
        <v>542</v>
      </c>
      <c r="AD58" s="39">
        <f>_xlfn.FLOOR.MATH((Characters!$G$16+Characters!$N$16*(Floor!$F58-1))*10/2) + _xlfn.FLOOR.MATH((($AI58-1)*Characters!$P$16+Characters!$I$16)*5/2)</f>
        <v>542</v>
      </c>
      <c r="AE58" s="39">
        <f>_xlfn.FLOOR.MATH((Characters!$G$17+Characters!$N$17*(Floor!$F58-1))*10/2) + _xlfn.FLOOR.MATH((($AI58-1)*Characters!$P$17+Characters!$I$17)*5/2)</f>
        <v>542</v>
      </c>
      <c r="AF58" s="39">
        <f>_xlfn.FLOOR.MATH((Characters!$G$18+Characters!$N$18*(Floor!$F58-1))*10/2) + _xlfn.FLOOR.MATH((($AI58-1)*Characters!$P$18+Characters!$I$18)*5/2)</f>
        <v>542</v>
      </c>
      <c r="AG58" s="33">
        <f>_xlfn.FLOOR.MATH((Characters!$G$19+Characters!$N$19*(Floor!$F58-1))*10/2) + _xlfn.FLOOR.MATH((($AI58-1)*Characters!$P$19+Characters!$I$19)*5/2)</f>
        <v>542</v>
      </c>
      <c r="AH58" s="67"/>
      <c r="AI58" s="38">
        <v>51</v>
      </c>
      <c r="AJ58" s="71">
        <f t="shared" si="2"/>
        <v>2603</v>
      </c>
      <c r="AK58" s="105">
        <f t="shared" si="11"/>
        <v>45679</v>
      </c>
      <c r="AL58" s="38">
        <f>_xlfn.FLOOR.MATH(($AI58-1)*Characters!$M$7+Characters!$F$7)+$AK$5</f>
        <v>5900</v>
      </c>
      <c r="AM58" s="39">
        <f>_xlfn.FLOOR.MATH(($AI58-1)*Characters!$M$8+Characters!$F$8)+$AK$5</f>
        <v>6950</v>
      </c>
      <c r="AN58" s="39">
        <f>_xlfn.FLOOR.MATH(($AI58-1)*Characters!$M$9+Characters!$F$9)+$AK$5</f>
        <v>5580</v>
      </c>
      <c r="AO58" s="39">
        <f>_xlfn.FLOOR.MATH(($AI58-1)*Characters!$M$10+Characters!$F$10)+$AK$5</f>
        <v>6110</v>
      </c>
      <c r="AP58" s="39">
        <f>_xlfn.FLOOR.MATH(($AI58-1)*Characters!$M$11+Characters!$F$11)+$AK$5</f>
        <v>5580</v>
      </c>
      <c r="AQ58" s="39">
        <f>_xlfn.FLOOR.MATH(($AI58-1)*Characters!$M$12+Characters!$F$12)+$AK$5</f>
        <v>6360</v>
      </c>
      <c r="AR58" s="38">
        <f>_xlfn.FLOOR.MATH((($AI58-1)*Characters!$Q$7+Characters!$J$7+$AK$4)*5/2)</f>
        <v>165</v>
      </c>
      <c r="AS58" s="39">
        <f>_xlfn.FLOOR.MATH((($AI58-1)*Characters!$Q$8+Characters!$J$8+$AK$4)*5/2)</f>
        <v>185</v>
      </c>
      <c r="AT58" s="39">
        <f>_xlfn.FLOOR.MATH((($AI58-1)*Characters!$Q$9+Characters!$J$9+$AK$4)*5/2)</f>
        <v>142</v>
      </c>
      <c r="AU58" s="39">
        <f>_xlfn.FLOOR.MATH((($AI58-1)*Characters!$Q$10+Characters!$J$10+$AK$4)*5/2)</f>
        <v>167</v>
      </c>
      <c r="AV58" s="39">
        <f>_xlfn.FLOOR.MATH((($AI58-1)*Characters!$Q$11+Characters!$J$11+$AK$4)*5/2)</f>
        <v>140</v>
      </c>
      <c r="AW58" s="39">
        <f>_xlfn.FLOOR.MATH((($AI58-1)*Characters!$Q$12+Characters!$J$12+$AK$4)*5/2)</f>
        <v>185</v>
      </c>
      <c r="AX58" s="38">
        <f>_xlfn.FLOOR.MATH((($AI58-1)*Characters!$N$7+Characters!$G$7+$AK$2)*10/2) + _xlfn.FLOOR.MATH((($AI58-1)*Characters!$P$7+Characters!$I$7+$AK$3)*5/2)</f>
        <v>225</v>
      </c>
      <c r="AY58" s="39">
        <f>_xlfn.FLOOR.MATH((($AI58-1)*Characters!$N$8+Characters!$G$8+$AK$2)*10/2) + _xlfn.FLOOR.MATH((($AI58-1)*Characters!$P$8+Characters!$I$8+$AK$3)*5/2)</f>
        <v>305</v>
      </c>
      <c r="AZ58" s="39">
        <f>_xlfn.FLOOR.MATH((($AI58-1)*Characters!$N$9+Characters!$G$9+$AK$2)*10/2) + _xlfn.FLOOR.MATH((($AI58-1)*Characters!$P$9+Characters!$I$9+$AK$3)*5/2)</f>
        <v>122</v>
      </c>
      <c r="BA58" s="39">
        <f>_xlfn.FLOOR.MATH((($AI58-1)*Characters!$N$10+Characters!$G$10+$AK$2)*10/2) + _xlfn.FLOOR.MATH((($AI58-1)*Characters!$P$10+Characters!$I$10+$AK$3)*5/2)</f>
        <v>352</v>
      </c>
      <c r="BB58" s="39">
        <f>_xlfn.FLOOR.MATH((($AI58-1)*Characters!$N$11+Characters!$G$11+$AK$2)*10/2) + _xlfn.FLOOR.MATH((($AI58-1)*Characters!$P$11+Characters!$I$11+$AK$3)*5/2)</f>
        <v>137</v>
      </c>
      <c r="BC58" s="33">
        <f>_xlfn.FLOOR.MATH((($AI58-1)*Characters!$N$12+Characters!$G$12+$AK$2)*10/2) + _xlfn.FLOOR.MATH((($AI58-1)*Characters!$P$12+Characters!$I$12+$AK$3)*5/2)</f>
        <v>330</v>
      </c>
    </row>
    <row r="59" spans="1:55" ht="18" customHeight="1">
      <c r="A59" s="38">
        <v>52</v>
      </c>
      <c r="B59" s="20">
        <f t="shared" si="3"/>
        <v>16</v>
      </c>
      <c r="C59" s="20">
        <f t="shared" si="4"/>
        <v>14</v>
      </c>
      <c r="D59" s="52">
        <f t="shared" si="5"/>
        <v>28</v>
      </c>
      <c r="E59" s="52">
        <f t="shared" si="9"/>
        <v>84</v>
      </c>
      <c r="F59" s="67">
        <f t="shared" si="12"/>
        <v>77</v>
      </c>
      <c r="G59" s="52">
        <f t="shared" si="13"/>
        <v>862.55</v>
      </c>
      <c r="H59" s="52">
        <f t="shared" si="6"/>
        <v>2587.6499999999996</v>
      </c>
      <c r="I59" s="52">
        <f t="shared" si="7"/>
        <v>1725.1</v>
      </c>
      <c r="J59" s="69">
        <f t="shared" si="10"/>
        <v>34538.799999999996</v>
      </c>
      <c r="K59" s="70">
        <f t="shared" si="14"/>
        <v>46</v>
      </c>
      <c r="L59" s="132"/>
      <c r="M59" s="38">
        <f>Characters!$F$13+((Characters!$M$13 )*(Floor!$F59-1))</f>
        <v>4710</v>
      </c>
      <c r="N59" s="39">
        <f>Characters!$F$14+((Characters!$M$14 )*(Floor!F59-1))</f>
        <v>4710</v>
      </c>
      <c r="O59" s="39">
        <f>Characters!$F$15+((Characters!$M$15 )*(Floor!$F59-1))</f>
        <v>4710</v>
      </c>
      <c r="P59" s="39">
        <f>Characters!$F$16+((Characters!$M$16 )*(Floor!$F59-1))</f>
        <v>4710</v>
      </c>
      <c r="Q59" s="39">
        <f>Characters!$F$17+((Characters!$M$17)*(Floor!$F59-1))</f>
        <v>4710</v>
      </c>
      <c r="R59" s="39">
        <f>Characters!$F$18+((Characters!$M$18 )*(Floor!$F59-1))</f>
        <v>4710</v>
      </c>
      <c r="S59" s="33">
        <f>Characters!$F$19+((Characters!$M$19 )*(Floor!$F59-1))</f>
        <v>4710</v>
      </c>
      <c r="T59" s="38">
        <f>_xlfn.FLOOR.MATH((Characters!$J$13+Characters!$Q$13*(Floor!$F59-1))*5/2)</f>
        <v>590</v>
      </c>
      <c r="U59" s="39">
        <f>_xlfn.FLOOR.MATH((Characters!$J$14+Characters!$Q$14*(Floor!$F59-1))*5/2)</f>
        <v>590</v>
      </c>
      <c r="V59" s="39">
        <f>_xlfn.FLOOR.MATH((Characters!$J$15+Characters!$Q$15*(Floor!$F59-1))*5/2)</f>
        <v>590</v>
      </c>
      <c r="W59" s="39">
        <f>_xlfn.FLOOR.MATH((Characters!$J$16+Characters!$Q$16*(Floor!$F59-1))*5/2)</f>
        <v>590</v>
      </c>
      <c r="X59" s="39">
        <f>_xlfn.FLOOR.MATH((Characters!$J$17+Characters!$Q$17*(Floor!$F59-1))*5/2)</f>
        <v>590</v>
      </c>
      <c r="Y59" s="39">
        <f>_xlfn.FLOOR.MATH((Characters!$J$18+Characters!$Q$18*(Floor!$F59-1))*5/2)</f>
        <v>590</v>
      </c>
      <c r="Z59" s="39">
        <f>_xlfn.FLOOR.MATH((Characters!$J$19+Characters!$Q$19*(Floor!$F59-1))*5/2)</f>
        <v>590</v>
      </c>
      <c r="AA59" s="38">
        <f>_xlfn.FLOOR.MATH((Characters!$G$13+Characters!$N$13*(Floor!$F59-1))*10/2) + _xlfn.FLOOR.MATH((($AI59-1)*Characters!$P$13+Characters!$I$13)*5/2)</f>
        <v>549</v>
      </c>
      <c r="AB59" s="39">
        <f>_xlfn.FLOOR.MATH((Characters!$G$14+Characters!$N$14*(Floor!$F59-1))*10/2) + _xlfn.FLOOR.MATH((($AI59-1)*Characters!$P$14+Characters!$I$14)*5/2)</f>
        <v>549</v>
      </c>
      <c r="AC59" s="39">
        <f>_xlfn.FLOOR.MATH((Characters!$G$15+Characters!$N$15*(Floor!$F59-1))*10/2) + _xlfn.FLOOR.MATH((($AI59-1)*Characters!$P$15+Characters!$I$15)*5/2)</f>
        <v>549</v>
      </c>
      <c r="AD59" s="39">
        <f>_xlfn.FLOOR.MATH((Characters!$G$16+Characters!$N$16*(Floor!$F59-1))*10/2) + _xlfn.FLOOR.MATH((($AI59-1)*Characters!$P$16+Characters!$I$16)*5/2)</f>
        <v>549</v>
      </c>
      <c r="AE59" s="39">
        <f>_xlfn.FLOOR.MATH((Characters!$G$17+Characters!$N$17*(Floor!$F59-1))*10/2) + _xlfn.FLOOR.MATH((($AI59-1)*Characters!$P$17+Characters!$I$17)*5/2)</f>
        <v>549</v>
      </c>
      <c r="AF59" s="39">
        <f>_xlfn.FLOOR.MATH((Characters!$G$18+Characters!$N$18*(Floor!$F59-1))*10/2) + _xlfn.FLOOR.MATH((($AI59-1)*Characters!$P$18+Characters!$I$18)*5/2)</f>
        <v>549</v>
      </c>
      <c r="AG59" s="33">
        <f>_xlfn.FLOOR.MATH((Characters!$G$19+Characters!$N$19*(Floor!$F59-1))*10/2) + _xlfn.FLOOR.MATH((($AI59-1)*Characters!$P$19+Characters!$I$19)*5/2)</f>
        <v>549</v>
      </c>
      <c r="AH59" s="67"/>
      <c r="AI59" s="38">
        <v>52</v>
      </c>
      <c r="AJ59" s="71">
        <f t="shared" si="2"/>
        <v>2705.96</v>
      </c>
      <c r="AK59" s="105">
        <f t="shared" si="11"/>
        <v>48384.959999999999</v>
      </c>
      <c r="AL59" s="38">
        <f>_xlfn.FLOOR.MATH(($AI59-1)*Characters!$M$7+Characters!$F$7)+$AK$5</f>
        <v>5930</v>
      </c>
      <c r="AM59" s="39">
        <f>_xlfn.FLOOR.MATH(($AI59-1)*Characters!$M$8+Characters!$F$8)+$AK$5</f>
        <v>7000</v>
      </c>
      <c r="AN59" s="39">
        <f>_xlfn.FLOOR.MATH(($AI59-1)*Characters!$M$9+Characters!$F$9)+$AK$5</f>
        <v>5605</v>
      </c>
      <c r="AO59" s="39">
        <f>_xlfn.FLOOR.MATH(($AI59-1)*Characters!$M$10+Characters!$F$10)+$AK$5</f>
        <v>6145</v>
      </c>
      <c r="AP59" s="39">
        <f>_xlfn.FLOOR.MATH(($AI59-1)*Characters!$M$11+Characters!$F$11)+$AK$5</f>
        <v>5605</v>
      </c>
      <c r="AQ59" s="39">
        <f>_xlfn.FLOOR.MATH(($AI59-1)*Characters!$M$12+Characters!$F$12)+$AK$5</f>
        <v>6400</v>
      </c>
      <c r="AR59" s="38">
        <f>_xlfn.FLOOR.MATH((($AI59-1)*Characters!$Q$7+Characters!$J$7+$AK$4)*5/2)</f>
        <v>166</v>
      </c>
      <c r="AS59" s="39">
        <f>_xlfn.FLOOR.MATH((($AI59-1)*Characters!$Q$8+Characters!$J$8+$AK$4)*5/2)</f>
        <v>186</v>
      </c>
      <c r="AT59" s="39">
        <f>_xlfn.FLOOR.MATH((($AI59-1)*Characters!$Q$9+Characters!$J$9+$AK$4)*5/2)</f>
        <v>143</v>
      </c>
      <c r="AU59" s="39">
        <f>_xlfn.FLOOR.MATH((($AI59-1)*Characters!$Q$10+Characters!$J$10+$AK$4)*5/2)</f>
        <v>168</v>
      </c>
      <c r="AV59" s="39">
        <f>_xlfn.FLOOR.MATH((($AI59-1)*Characters!$Q$11+Characters!$J$11+$AK$4)*5/2)</f>
        <v>140</v>
      </c>
      <c r="AW59" s="39">
        <f>_xlfn.FLOOR.MATH((($AI59-1)*Characters!$Q$12+Characters!$J$12+$AK$4)*5/2)</f>
        <v>186</v>
      </c>
      <c r="AX59" s="38">
        <f>_xlfn.FLOOR.MATH((($AI59-1)*Characters!$N$7+Characters!$G$7+$AK$2)*10/2) + _xlfn.FLOOR.MATH((($AI59-1)*Characters!$P$7+Characters!$I$7+$AK$3)*5/2)</f>
        <v>228</v>
      </c>
      <c r="AY59" s="39">
        <f>_xlfn.FLOOR.MATH((($AI59-1)*Characters!$N$8+Characters!$G$8+$AK$2)*10/2) + _xlfn.FLOOR.MATH((($AI59-1)*Characters!$P$8+Characters!$I$8+$AK$3)*5/2)</f>
        <v>309</v>
      </c>
      <c r="AZ59" s="39">
        <f>_xlfn.FLOOR.MATH((($AI59-1)*Characters!$N$9+Characters!$G$9+$AK$2)*10/2) + _xlfn.FLOOR.MATH((($AI59-1)*Characters!$P$9+Characters!$I$9+$AK$3)*5/2)</f>
        <v>124</v>
      </c>
      <c r="BA59" s="39">
        <f>_xlfn.FLOOR.MATH((($AI59-1)*Characters!$N$10+Characters!$G$10+$AK$2)*10/2) + _xlfn.FLOOR.MATH((($AI59-1)*Characters!$P$10+Characters!$I$10+$AK$3)*5/2)</f>
        <v>357</v>
      </c>
      <c r="BB59" s="39">
        <f>_xlfn.FLOOR.MATH((($AI59-1)*Characters!$N$11+Characters!$G$11+$AK$2)*10/2) + _xlfn.FLOOR.MATH((($AI59-1)*Characters!$P$11+Characters!$I$11+$AK$3)*5/2)</f>
        <v>139</v>
      </c>
      <c r="BC59" s="33">
        <f>_xlfn.FLOOR.MATH((($AI59-1)*Characters!$N$12+Characters!$G$12+$AK$2)*10/2) + _xlfn.FLOOR.MATH((($AI59-1)*Characters!$P$12+Characters!$I$12+$AK$3)*5/2)</f>
        <v>335</v>
      </c>
    </row>
    <row r="60" spans="1:55" ht="18" customHeight="1">
      <c r="A60" s="38">
        <v>53</v>
      </c>
      <c r="B60" s="20">
        <f t="shared" si="3"/>
        <v>16</v>
      </c>
      <c r="C60" s="20">
        <f t="shared" si="4"/>
        <v>14</v>
      </c>
      <c r="D60" s="52">
        <f t="shared" si="5"/>
        <v>28</v>
      </c>
      <c r="E60" s="52">
        <f t="shared" si="9"/>
        <v>84</v>
      </c>
      <c r="F60" s="67">
        <f t="shared" si="12"/>
        <v>79</v>
      </c>
      <c r="G60" s="52">
        <f t="shared" si="13"/>
        <v>884.95</v>
      </c>
      <c r="H60" s="52">
        <f t="shared" si="6"/>
        <v>2654.8500000000004</v>
      </c>
      <c r="I60" s="52">
        <f t="shared" si="7"/>
        <v>1769.9</v>
      </c>
      <c r="J60" s="69">
        <f t="shared" si="10"/>
        <v>36308.699999999997</v>
      </c>
      <c r="K60" s="70">
        <f t="shared" si="14"/>
        <v>47</v>
      </c>
      <c r="L60" s="132"/>
      <c r="M60" s="38">
        <f>Characters!$F$13+((Characters!$M$13 )*(Floor!$F60-1))</f>
        <v>4830</v>
      </c>
      <c r="N60" s="39">
        <f>Characters!$F$14+((Characters!$M$14 )*(Floor!F60-1))</f>
        <v>4830</v>
      </c>
      <c r="O60" s="39">
        <f>Characters!$F$15+((Characters!$M$15 )*(Floor!$F60-1))</f>
        <v>4830</v>
      </c>
      <c r="P60" s="39">
        <f>Characters!$F$16+((Characters!$M$16 )*(Floor!$F60-1))</f>
        <v>4830</v>
      </c>
      <c r="Q60" s="39">
        <f>Characters!$F$17+((Characters!$M$17)*(Floor!$F60-1))</f>
        <v>4830</v>
      </c>
      <c r="R60" s="39">
        <f>Characters!$F$18+((Characters!$M$18 )*(Floor!$F60-1))</f>
        <v>4830</v>
      </c>
      <c r="S60" s="33">
        <f>Characters!$F$19+((Characters!$M$19 )*(Floor!$F60-1))</f>
        <v>4830</v>
      </c>
      <c r="T60" s="38">
        <f>_xlfn.FLOOR.MATH((Characters!$J$13+Characters!$Q$13*(Floor!$F60-1))*5/2)</f>
        <v>605</v>
      </c>
      <c r="U60" s="39">
        <f>_xlfn.FLOOR.MATH((Characters!$J$14+Characters!$Q$14*(Floor!$F60-1))*5/2)</f>
        <v>605</v>
      </c>
      <c r="V60" s="39">
        <f>_xlfn.FLOOR.MATH((Characters!$J$15+Characters!$Q$15*(Floor!$F60-1))*5/2)</f>
        <v>605</v>
      </c>
      <c r="W60" s="39">
        <f>_xlfn.FLOOR.MATH((Characters!$J$16+Characters!$Q$16*(Floor!$F60-1))*5/2)</f>
        <v>605</v>
      </c>
      <c r="X60" s="39">
        <f>_xlfn.FLOOR.MATH((Characters!$J$17+Characters!$Q$17*(Floor!$F60-1))*5/2)</f>
        <v>605</v>
      </c>
      <c r="Y60" s="39">
        <f>_xlfn.FLOOR.MATH((Characters!$J$18+Characters!$Q$18*(Floor!$F60-1))*5/2)</f>
        <v>605</v>
      </c>
      <c r="Z60" s="39">
        <f>_xlfn.FLOOR.MATH((Characters!$J$19+Characters!$Q$19*(Floor!$F60-1))*5/2)</f>
        <v>605</v>
      </c>
      <c r="AA60" s="38">
        <f>_xlfn.FLOOR.MATH((Characters!$G$13+Characters!$N$13*(Floor!$F60-1))*10/2) + _xlfn.FLOOR.MATH((($AI60-1)*Characters!$P$13+Characters!$I$13)*5/2)</f>
        <v>563</v>
      </c>
      <c r="AB60" s="39">
        <f>_xlfn.FLOOR.MATH((Characters!$G$14+Characters!$N$14*(Floor!$F60-1))*10/2) + _xlfn.FLOOR.MATH((($AI60-1)*Characters!$P$14+Characters!$I$14)*5/2)</f>
        <v>563</v>
      </c>
      <c r="AC60" s="39">
        <f>_xlfn.FLOOR.MATH((Characters!$G$15+Characters!$N$15*(Floor!$F60-1))*10/2) + _xlfn.FLOOR.MATH((($AI60-1)*Characters!$P$15+Characters!$I$15)*5/2)</f>
        <v>563</v>
      </c>
      <c r="AD60" s="39">
        <f>_xlfn.FLOOR.MATH((Characters!$G$16+Characters!$N$16*(Floor!$F60-1))*10/2) + _xlfn.FLOOR.MATH((($AI60-1)*Characters!$P$16+Characters!$I$16)*5/2)</f>
        <v>563</v>
      </c>
      <c r="AE60" s="39">
        <f>_xlfn.FLOOR.MATH((Characters!$G$17+Characters!$N$17*(Floor!$F60-1))*10/2) + _xlfn.FLOOR.MATH((($AI60-1)*Characters!$P$17+Characters!$I$17)*5/2)</f>
        <v>563</v>
      </c>
      <c r="AF60" s="39">
        <f>_xlfn.FLOOR.MATH((Characters!$G$18+Characters!$N$18*(Floor!$F60-1))*10/2) + _xlfn.FLOOR.MATH((($AI60-1)*Characters!$P$18+Characters!$I$18)*5/2)</f>
        <v>563</v>
      </c>
      <c r="AG60" s="33">
        <f>_xlfn.FLOOR.MATH((Characters!$G$19+Characters!$N$19*(Floor!$F60-1))*10/2) + _xlfn.FLOOR.MATH((($AI60-1)*Characters!$P$19+Characters!$I$19)*5/2)</f>
        <v>563</v>
      </c>
      <c r="AH60" s="67"/>
      <c r="AI60" s="38">
        <v>53</v>
      </c>
      <c r="AJ60" s="71">
        <f t="shared" si="2"/>
        <v>2810.92</v>
      </c>
      <c r="AK60" s="105">
        <f t="shared" si="11"/>
        <v>51195.88</v>
      </c>
      <c r="AL60" s="38">
        <f>_xlfn.FLOOR.MATH(($AI60-1)*Characters!$M$7+Characters!$F$7)+$AK$5</f>
        <v>5960</v>
      </c>
      <c r="AM60" s="39">
        <f>_xlfn.FLOOR.MATH(($AI60-1)*Characters!$M$8+Characters!$F$8)+$AK$5</f>
        <v>7050</v>
      </c>
      <c r="AN60" s="39">
        <f>_xlfn.FLOOR.MATH(($AI60-1)*Characters!$M$9+Characters!$F$9)+$AK$5</f>
        <v>5630</v>
      </c>
      <c r="AO60" s="39">
        <f>_xlfn.FLOOR.MATH(($AI60-1)*Characters!$M$10+Characters!$F$10)+$AK$5</f>
        <v>6180</v>
      </c>
      <c r="AP60" s="39">
        <f>_xlfn.FLOOR.MATH(($AI60-1)*Characters!$M$11+Characters!$F$11)+$AK$5</f>
        <v>5630</v>
      </c>
      <c r="AQ60" s="39">
        <f>_xlfn.FLOOR.MATH(($AI60-1)*Characters!$M$12+Characters!$F$12)+$AK$5</f>
        <v>6440</v>
      </c>
      <c r="AR60" s="38">
        <f>_xlfn.FLOOR.MATH((($AI60-1)*Characters!$Q$7+Characters!$J$7+$AK$4)*5/2)</f>
        <v>167</v>
      </c>
      <c r="AS60" s="39">
        <f>_xlfn.FLOOR.MATH((($AI60-1)*Characters!$Q$8+Characters!$J$8+$AK$4)*5/2)</f>
        <v>188</v>
      </c>
      <c r="AT60" s="39">
        <f>_xlfn.FLOOR.MATH((($AI60-1)*Characters!$Q$9+Characters!$J$9+$AK$4)*5/2)</f>
        <v>144</v>
      </c>
      <c r="AU60" s="39">
        <f>_xlfn.FLOOR.MATH((($AI60-1)*Characters!$Q$10+Characters!$J$10+$AK$4)*5/2)</f>
        <v>170</v>
      </c>
      <c r="AV60" s="39">
        <f>_xlfn.FLOOR.MATH((($AI60-1)*Characters!$Q$11+Characters!$J$11+$AK$4)*5/2)</f>
        <v>141</v>
      </c>
      <c r="AW60" s="39">
        <f>_xlfn.FLOOR.MATH((($AI60-1)*Characters!$Q$12+Characters!$J$12+$AK$4)*5/2)</f>
        <v>188</v>
      </c>
      <c r="AX60" s="38">
        <f>_xlfn.FLOOR.MATH((($AI60-1)*Characters!$N$7+Characters!$G$7+$AK$2)*10/2) + _xlfn.FLOOR.MATH((($AI60-1)*Characters!$P$7+Characters!$I$7+$AK$3)*5/2)</f>
        <v>232</v>
      </c>
      <c r="AY60" s="39">
        <f>_xlfn.FLOOR.MATH((($AI60-1)*Characters!$N$8+Characters!$G$8+$AK$2)*10/2) + _xlfn.FLOOR.MATH((($AI60-1)*Characters!$P$8+Characters!$I$8+$AK$3)*5/2)</f>
        <v>314</v>
      </c>
      <c r="AZ60" s="39">
        <f>_xlfn.FLOOR.MATH((($AI60-1)*Characters!$N$9+Characters!$G$9+$AK$2)*10/2) + _xlfn.FLOOR.MATH((($AI60-1)*Characters!$P$9+Characters!$I$9+$AK$3)*5/2)</f>
        <v>126</v>
      </c>
      <c r="BA60" s="39">
        <f>_xlfn.FLOOR.MATH((($AI60-1)*Characters!$N$10+Characters!$G$10+$AK$2)*10/2) + _xlfn.FLOOR.MATH((($AI60-1)*Characters!$P$10+Characters!$I$10+$AK$3)*5/2)</f>
        <v>363</v>
      </c>
      <c r="BB60" s="39">
        <f>_xlfn.FLOOR.MATH((($AI60-1)*Characters!$N$11+Characters!$G$11+$AK$2)*10/2) + _xlfn.FLOOR.MATH((($AI60-1)*Characters!$P$11+Characters!$I$11+$AK$3)*5/2)</f>
        <v>141</v>
      </c>
      <c r="BC60" s="33">
        <f>_xlfn.FLOOR.MATH((($AI60-1)*Characters!$N$12+Characters!$G$12+$AK$2)*10/2) + _xlfn.FLOOR.MATH((($AI60-1)*Characters!$P$12+Characters!$I$12+$AK$3)*5/2)</f>
        <v>340</v>
      </c>
    </row>
    <row r="61" spans="1:55" ht="18" customHeight="1">
      <c r="A61" s="38">
        <v>54</v>
      </c>
      <c r="B61" s="20">
        <f t="shared" si="3"/>
        <v>16</v>
      </c>
      <c r="C61" s="20">
        <f t="shared" si="4"/>
        <v>14</v>
      </c>
      <c r="D61" s="52">
        <f t="shared" si="5"/>
        <v>28</v>
      </c>
      <c r="E61" s="52">
        <f t="shared" si="9"/>
        <v>84</v>
      </c>
      <c r="F61" s="67">
        <f t="shared" si="12"/>
        <v>80</v>
      </c>
      <c r="G61" s="52">
        <f t="shared" si="13"/>
        <v>896.15</v>
      </c>
      <c r="H61" s="52">
        <f t="shared" si="6"/>
        <v>2688.45</v>
      </c>
      <c r="I61" s="52">
        <f t="shared" si="7"/>
        <v>1792.3</v>
      </c>
      <c r="J61" s="69">
        <f t="shared" si="10"/>
        <v>38101</v>
      </c>
      <c r="K61" s="70">
        <f t="shared" si="14"/>
        <v>47</v>
      </c>
      <c r="L61" s="132"/>
      <c r="M61" s="38">
        <f>Characters!$F$13+((Characters!$M$13 )*(Floor!$F61-1))</f>
        <v>4890</v>
      </c>
      <c r="N61" s="39">
        <f>Characters!$F$14+((Characters!$M$14 )*(Floor!F61-1))</f>
        <v>4890</v>
      </c>
      <c r="O61" s="39">
        <f>Characters!$F$15+((Characters!$M$15 )*(Floor!$F61-1))</f>
        <v>4890</v>
      </c>
      <c r="P61" s="39">
        <f>Characters!$F$16+((Characters!$M$16 )*(Floor!$F61-1))</f>
        <v>4890</v>
      </c>
      <c r="Q61" s="39">
        <f>Characters!$F$17+((Characters!$M$17)*(Floor!$F61-1))</f>
        <v>4890</v>
      </c>
      <c r="R61" s="39">
        <f>Characters!$F$18+((Characters!$M$18 )*(Floor!$F61-1))</f>
        <v>4890</v>
      </c>
      <c r="S61" s="33">
        <f>Characters!$F$19+((Characters!$M$19 )*(Floor!$F61-1))</f>
        <v>4890</v>
      </c>
      <c r="T61" s="38">
        <f>_xlfn.FLOOR.MATH((Characters!$J$13+Characters!$Q$13*(Floor!$F61-1))*5/2)</f>
        <v>612</v>
      </c>
      <c r="U61" s="39">
        <f>_xlfn.FLOOR.MATH((Characters!$J$14+Characters!$Q$14*(Floor!$F61-1))*5/2)</f>
        <v>612</v>
      </c>
      <c r="V61" s="39">
        <f>_xlfn.FLOOR.MATH((Characters!$J$15+Characters!$Q$15*(Floor!$F61-1))*5/2)</f>
        <v>612</v>
      </c>
      <c r="W61" s="39">
        <f>_xlfn.FLOOR.MATH((Characters!$J$16+Characters!$Q$16*(Floor!$F61-1))*5/2)</f>
        <v>612</v>
      </c>
      <c r="X61" s="39">
        <f>_xlfn.FLOOR.MATH((Characters!$J$17+Characters!$Q$17*(Floor!$F61-1))*5/2)</f>
        <v>612</v>
      </c>
      <c r="Y61" s="39">
        <f>_xlfn.FLOOR.MATH((Characters!$J$18+Characters!$Q$18*(Floor!$F61-1))*5/2)</f>
        <v>612</v>
      </c>
      <c r="Z61" s="39">
        <f>_xlfn.FLOOR.MATH((Characters!$J$19+Characters!$Q$19*(Floor!$F61-1))*5/2)</f>
        <v>612</v>
      </c>
      <c r="AA61" s="38">
        <f>_xlfn.FLOOR.MATH((Characters!$G$13+Characters!$N$13*(Floor!$F61-1))*10/2) + _xlfn.FLOOR.MATH((($AI61-1)*Characters!$P$13+Characters!$I$13)*5/2)</f>
        <v>570</v>
      </c>
      <c r="AB61" s="39">
        <f>_xlfn.FLOOR.MATH((Characters!$G$14+Characters!$N$14*(Floor!$F61-1))*10/2) + _xlfn.FLOOR.MATH((($AI61-1)*Characters!$P$14+Characters!$I$14)*5/2)</f>
        <v>570</v>
      </c>
      <c r="AC61" s="39">
        <f>_xlfn.FLOOR.MATH((Characters!$G$15+Characters!$N$15*(Floor!$F61-1))*10/2) + _xlfn.FLOOR.MATH((($AI61-1)*Characters!$P$15+Characters!$I$15)*5/2)</f>
        <v>570</v>
      </c>
      <c r="AD61" s="39">
        <f>_xlfn.FLOOR.MATH((Characters!$G$16+Characters!$N$16*(Floor!$F61-1))*10/2) + _xlfn.FLOOR.MATH((($AI61-1)*Characters!$P$16+Characters!$I$16)*5/2)</f>
        <v>570</v>
      </c>
      <c r="AE61" s="39">
        <f>_xlfn.FLOOR.MATH((Characters!$G$17+Characters!$N$17*(Floor!$F61-1))*10/2) + _xlfn.FLOOR.MATH((($AI61-1)*Characters!$P$17+Characters!$I$17)*5/2)</f>
        <v>570</v>
      </c>
      <c r="AF61" s="39">
        <f>_xlfn.FLOOR.MATH((Characters!$G$18+Characters!$N$18*(Floor!$F61-1))*10/2) + _xlfn.FLOOR.MATH((($AI61-1)*Characters!$P$18+Characters!$I$18)*5/2)</f>
        <v>570</v>
      </c>
      <c r="AG61" s="33">
        <f>_xlfn.FLOOR.MATH((Characters!$G$19+Characters!$N$19*(Floor!$F61-1))*10/2) + _xlfn.FLOOR.MATH((($AI61-1)*Characters!$P$19+Characters!$I$19)*5/2)</f>
        <v>570</v>
      </c>
      <c r="AH61" s="67"/>
      <c r="AI61" s="38">
        <v>54</v>
      </c>
      <c r="AJ61" s="71">
        <f t="shared" si="2"/>
        <v>2917.88</v>
      </c>
      <c r="AK61" s="105">
        <f t="shared" si="11"/>
        <v>54113.759999999995</v>
      </c>
      <c r="AL61" s="38">
        <f>_xlfn.FLOOR.MATH(($AI61-1)*Characters!$M$7+Characters!$F$7)+$AK$5</f>
        <v>5990</v>
      </c>
      <c r="AM61" s="39">
        <f>_xlfn.FLOOR.MATH(($AI61-1)*Characters!$M$8+Characters!$F$8)+$AK$5</f>
        <v>7100</v>
      </c>
      <c r="AN61" s="39">
        <f>_xlfn.FLOOR.MATH(($AI61-1)*Characters!$M$9+Characters!$F$9)+$AK$5</f>
        <v>5655</v>
      </c>
      <c r="AO61" s="39">
        <f>_xlfn.FLOOR.MATH(($AI61-1)*Characters!$M$10+Characters!$F$10)+$AK$5</f>
        <v>6215</v>
      </c>
      <c r="AP61" s="39">
        <f>_xlfn.FLOOR.MATH(($AI61-1)*Characters!$M$11+Characters!$F$11)+$AK$5</f>
        <v>5655</v>
      </c>
      <c r="AQ61" s="39">
        <f>_xlfn.FLOOR.MATH(($AI61-1)*Characters!$M$12+Characters!$F$12)+$AK$5</f>
        <v>6480</v>
      </c>
      <c r="AR61" s="38">
        <f>_xlfn.FLOOR.MATH((($AI61-1)*Characters!$Q$7+Characters!$J$7+$AK$4)*5/2)</f>
        <v>168</v>
      </c>
      <c r="AS61" s="39">
        <f>_xlfn.FLOOR.MATH((($AI61-1)*Characters!$Q$8+Characters!$J$8+$AK$4)*5/2)</f>
        <v>189</v>
      </c>
      <c r="AT61" s="39">
        <f>_xlfn.FLOOR.MATH((($AI61-1)*Characters!$Q$9+Characters!$J$9+$AK$4)*5/2)</f>
        <v>144</v>
      </c>
      <c r="AU61" s="39">
        <f>_xlfn.FLOOR.MATH((($AI61-1)*Characters!$Q$10+Characters!$J$10+$AK$4)*5/2)</f>
        <v>171</v>
      </c>
      <c r="AV61" s="39">
        <f>_xlfn.FLOOR.MATH((($AI61-1)*Characters!$Q$11+Characters!$J$11+$AK$4)*5/2)</f>
        <v>142</v>
      </c>
      <c r="AW61" s="39">
        <f>_xlfn.FLOOR.MATH((($AI61-1)*Characters!$Q$12+Characters!$J$12+$AK$4)*5/2)</f>
        <v>189</v>
      </c>
      <c r="AX61" s="38">
        <f>_xlfn.FLOOR.MATH((($AI61-1)*Characters!$N$7+Characters!$G$7+$AK$2)*10/2) + _xlfn.FLOOR.MATH((($AI61-1)*Characters!$P$7+Characters!$I$7+$AK$3)*5/2)</f>
        <v>235</v>
      </c>
      <c r="AY61" s="39">
        <f>_xlfn.FLOOR.MATH((($AI61-1)*Characters!$N$8+Characters!$G$8+$AK$2)*10/2) + _xlfn.FLOOR.MATH((($AI61-1)*Characters!$P$8+Characters!$I$8+$AK$3)*5/2)</f>
        <v>318</v>
      </c>
      <c r="AZ61" s="39">
        <f>_xlfn.FLOOR.MATH((($AI61-1)*Characters!$N$9+Characters!$G$9+$AK$2)*10/2) + _xlfn.FLOOR.MATH((($AI61-1)*Characters!$P$9+Characters!$I$9+$AK$3)*5/2)</f>
        <v>127</v>
      </c>
      <c r="BA61" s="39">
        <f>_xlfn.FLOOR.MATH((($AI61-1)*Characters!$N$10+Characters!$G$10+$AK$2)*10/2) + _xlfn.FLOOR.MATH((($AI61-1)*Characters!$P$10+Characters!$I$10+$AK$3)*5/2)</f>
        <v>368</v>
      </c>
      <c r="BB61" s="39">
        <f>_xlfn.FLOOR.MATH((($AI61-1)*Characters!$N$11+Characters!$G$11+$AK$2)*10/2) + _xlfn.FLOOR.MATH((($AI61-1)*Characters!$P$11+Characters!$I$11+$AK$3)*5/2)</f>
        <v>143</v>
      </c>
      <c r="BC61" s="33">
        <f>_xlfn.FLOOR.MATH((($AI61-1)*Characters!$N$12+Characters!$G$12+$AK$2)*10/2) + _xlfn.FLOOR.MATH((($AI61-1)*Characters!$P$12+Characters!$I$12+$AK$3)*5/2)</f>
        <v>345</v>
      </c>
    </row>
    <row r="62" spans="1:55" ht="18" customHeight="1">
      <c r="A62" s="38">
        <v>55</v>
      </c>
      <c r="B62" s="20">
        <f t="shared" si="3"/>
        <v>17</v>
      </c>
      <c r="C62" s="20">
        <f t="shared" si="4"/>
        <v>15</v>
      </c>
      <c r="D62" s="52">
        <f t="shared" si="5"/>
        <v>30</v>
      </c>
      <c r="E62" s="52">
        <f t="shared" si="9"/>
        <v>90</v>
      </c>
      <c r="F62" s="67">
        <f t="shared" si="12"/>
        <v>82</v>
      </c>
      <c r="G62" s="52">
        <f t="shared" si="13"/>
        <v>984.15000000000009</v>
      </c>
      <c r="H62" s="52">
        <f t="shared" si="6"/>
        <v>2952.45</v>
      </c>
      <c r="I62" s="52">
        <f t="shared" si="7"/>
        <v>1968.3</v>
      </c>
      <c r="J62" s="69">
        <f t="shared" si="10"/>
        <v>40069.300000000003</v>
      </c>
      <c r="K62" s="70">
        <f t="shared" si="14"/>
        <v>48</v>
      </c>
      <c r="L62" s="132"/>
      <c r="M62" s="38">
        <f>Characters!$F$13+((Characters!$M$13 )*(Floor!$F62-1))</f>
        <v>5010</v>
      </c>
      <c r="N62" s="39">
        <f>Characters!$F$14+((Characters!$M$14 )*(Floor!F62-1))</f>
        <v>5010</v>
      </c>
      <c r="O62" s="39">
        <f>Characters!$F$15+((Characters!$M$15 )*(Floor!$F62-1))</f>
        <v>5010</v>
      </c>
      <c r="P62" s="39">
        <f>Characters!$F$16+((Characters!$M$16 )*(Floor!$F62-1))</f>
        <v>5010</v>
      </c>
      <c r="Q62" s="39">
        <f>Characters!$F$17+((Characters!$M$17)*(Floor!$F62-1))</f>
        <v>5010</v>
      </c>
      <c r="R62" s="39">
        <f>Characters!$F$18+((Characters!$M$18 )*(Floor!$F62-1))</f>
        <v>5010</v>
      </c>
      <c r="S62" s="33">
        <f>Characters!$F$19+((Characters!$M$19 )*(Floor!$F62-1))</f>
        <v>5010</v>
      </c>
      <c r="T62" s="38">
        <f>_xlfn.FLOOR.MATH((Characters!$J$13+Characters!$Q$13*(Floor!$F62-1))*5/2)</f>
        <v>627</v>
      </c>
      <c r="U62" s="39">
        <f>_xlfn.FLOOR.MATH((Characters!$J$14+Characters!$Q$14*(Floor!$F62-1))*5/2)</f>
        <v>627</v>
      </c>
      <c r="V62" s="39">
        <f>_xlfn.FLOOR.MATH((Characters!$J$15+Characters!$Q$15*(Floor!$F62-1))*5/2)</f>
        <v>627</v>
      </c>
      <c r="W62" s="39">
        <f>_xlfn.FLOOR.MATH((Characters!$J$16+Characters!$Q$16*(Floor!$F62-1))*5/2)</f>
        <v>627</v>
      </c>
      <c r="X62" s="39">
        <f>_xlfn.FLOOR.MATH((Characters!$J$17+Characters!$Q$17*(Floor!$F62-1))*5/2)</f>
        <v>627</v>
      </c>
      <c r="Y62" s="39">
        <f>_xlfn.FLOOR.MATH((Characters!$J$18+Characters!$Q$18*(Floor!$F62-1))*5/2)</f>
        <v>627</v>
      </c>
      <c r="Z62" s="39">
        <f>_xlfn.FLOOR.MATH((Characters!$J$19+Characters!$Q$19*(Floor!$F62-1))*5/2)</f>
        <v>627</v>
      </c>
      <c r="AA62" s="38">
        <f>_xlfn.FLOOR.MATH((Characters!$G$13+Characters!$N$13*(Floor!$F62-1))*10/2) + _xlfn.FLOOR.MATH((($AI62-1)*Characters!$P$13+Characters!$I$13)*5/2)</f>
        <v>583</v>
      </c>
      <c r="AB62" s="39">
        <f>_xlfn.FLOOR.MATH((Characters!$G$14+Characters!$N$14*(Floor!$F62-1))*10/2) + _xlfn.FLOOR.MATH((($AI62-1)*Characters!$P$14+Characters!$I$14)*5/2)</f>
        <v>583</v>
      </c>
      <c r="AC62" s="39">
        <f>_xlfn.FLOOR.MATH((Characters!$G$15+Characters!$N$15*(Floor!$F62-1))*10/2) + _xlfn.FLOOR.MATH((($AI62-1)*Characters!$P$15+Characters!$I$15)*5/2)</f>
        <v>583</v>
      </c>
      <c r="AD62" s="39">
        <f>_xlfn.FLOOR.MATH((Characters!$G$16+Characters!$N$16*(Floor!$F62-1))*10/2) + _xlfn.FLOOR.MATH((($AI62-1)*Characters!$P$16+Characters!$I$16)*5/2)</f>
        <v>583</v>
      </c>
      <c r="AE62" s="39">
        <f>_xlfn.FLOOR.MATH((Characters!$G$17+Characters!$N$17*(Floor!$F62-1))*10/2) + _xlfn.FLOOR.MATH((($AI62-1)*Characters!$P$17+Characters!$I$17)*5/2)</f>
        <v>583</v>
      </c>
      <c r="AF62" s="39">
        <f>_xlfn.FLOOR.MATH((Characters!$G$18+Characters!$N$18*(Floor!$F62-1))*10/2) + _xlfn.FLOOR.MATH((($AI62-1)*Characters!$P$18+Characters!$I$18)*5/2)</f>
        <v>583</v>
      </c>
      <c r="AG62" s="33">
        <f>_xlfn.FLOOR.MATH((Characters!$G$19+Characters!$N$19*(Floor!$F62-1))*10/2) + _xlfn.FLOOR.MATH((($AI62-1)*Characters!$P$19+Characters!$I$19)*5/2)</f>
        <v>583</v>
      </c>
      <c r="AH62" s="67"/>
      <c r="AI62" s="38">
        <v>55</v>
      </c>
      <c r="AJ62" s="71">
        <f t="shared" si="2"/>
        <v>3026.84</v>
      </c>
      <c r="AK62" s="105">
        <f t="shared" si="11"/>
        <v>57140.599999999991</v>
      </c>
      <c r="AL62" s="38">
        <f>_xlfn.FLOOR.MATH(($AI62-1)*Characters!$M$7+Characters!$F$7)+$AK$5</f>
        <v>6020</v>
      </c>
      <c r="AM62" s="39">
        <f>_xlfn.FLOOR.MATH(($AI62-1)*Characters!$M$8+Characters!$F$8)+$AK$5</f>
        <v>7150</v>
      </c>
      <c r="AN62" s="39">
        <f>_xlfn.FLOOR.MATH(($AI62-1)*Characters!$M$9+Characters!$F$9)+$AK$5</f>
        <v>5680</v>
      </c>
      <c r="AO62" s="39">
        <f>_xlfn.FLOOR.MATH(($AI62-1)*Characters!$M$10+Characters!$F$10)+$AK$5</f>
        <v>6250</v>
      </c>
      <c r="AP62" s="39">
        <f>_xlfn.FLOOR.MATH(($AI62-1)*Characters!$M$11+Characters!$F$11)+$AK$5</f>
        <v>5680</v>
      </c>
      <c r="AQ62" s="39">
        <f>_xlfn.FLOOR.MATH(($AI62-1)*Characters!$M$12+Characters!$F$12)+$AK$5</f>
        <v>6520</v>
      </c>
      <c r="AR62" s="38">
        <f>_xlfn.FLOOR.MATH((($AI62-1)*Characters!$Q$7+Characters!$J$7+$AK$4)*5/2)</f>
        <v>170</v>
      </c>
      <c r="AS62" s="39">
        <f>_xlfn.FLOOR.MATH((($AI62-1)*Characters!$Q$8+Characters!$J$8+$AK$4)*5/2)</f>
        <v>191</v>
      </c>
      <c r="AT62" s="39">
        <f>_xlfn.FLOOR.MATH((($AI62-1)*Characters!$Q$9+Characters!$J$9+$AK$4)*5/2)</f>
        <v>145</v>
      </c>
      <c r="AU62" s="39">
        <f>_xlfn.FLOOR.MATH((($AI62-1)*Characters!$Q$10+Characters!$J$10+$AK$4)*5/2)</f>
        <v>172</v>
      </c>
      <c r="AV62" s="39">
        <f>_xlfn.FLOOR.MATH((($AI62-1)*Characters!$Q$11+Characters!$J$11+$AK$4)*5/2)</f>
        <v>143</v>
      </c>
      <c r="AW62" s="39">
        <f>_xlfn.FLOOR.MATH((($AI62-1)*Characters!$Q$12+Characters!$J$12+$AK$4)*5/2)</f>
        <v>191</v>
      </c>
      <c r="AX62" s="38">
        <f>_xlfn.FLOOR.MATH((($AI62-1)*Characters!$N$7+Characters!$G$7+$AK$2)*10/2) + _xlfn.FLOOR.MATH((($AI62-1)*Characters!$P$7+Characters!$I$7+$AK$3)*5/2)</f>
        <v>240</v>
      </c>
      <c r="AY62" s="39">
        <f>_xlfn.FLOOR.MATH((($AI62-1)*Characters!$N$8+Characters!$G$8+$AK$2)*10/2) + _xlfn.FLOOR.MATH((($AI62-1)*Characters!$P$8+Characters!$I$8+$AK$3)*5/2)</f>
        <v>323</v>
      </c>
      <c r="AZ62" s="39">
        <f>_xlfn.FLOOR.MATH((($AI62-1)*Characters!$N$9+Characters!$G$9+$AK$2)*10/2) + _xlfn.FLOOR.MATH((($AI62-1)*Characters!$P$9+Characters!$I$9+$AK$3)*5/2)</f>
        <v>129</v>
      </c>
      <c r="BA62" s="39">
        <f>_xlfn.FLOOR.MATH((($AI62-1)*Characters!$N$10+Characters!$G$10+$AK$2)*10/2) + _xlfn.FLOOR.MATH((($AI62-1)*Characters!$P$10+Characters!$I$10+$AK$3)*5/2)</f>
        <v>374</v>
      </c>
      <c r="BB62" s="39">
        <f>_xlfn.FLOOR.MATH((($AI62-1)*Characters!$N$11+Characters!$G$11+$AK$2)*10/2) + _xlfn.FLOOR.MATH((($AI62-1)*Characters!$P$11+Characters!$I$11+$AK$3)*5/2)</f>
        <v>145</v>
      </c>
      <c r="BC62" s="33">
        <f>_xlfn.FLOOR.MATH((($AI62-1)*Characters!$N$12+Characters!$G$12+$AK$2)*10/2) + _xlfn.FLOOR.MATH((($AI62-1)*Characters!$P$12+Characters!$I$12+$AK$3)*5/2)</f>
        <v>350</v>
      </c>
    </row>
    <row r="63" spans="1:55" ht="18" customHeight="1">
      <c r="A63" s="38">
        <v>56</v>
      </c>
      <c r="B63" s="20">
        <f t="shared" si="3"/>
        <v>17</v>
      </c>
      <c r="C63" s="20">
        <f t="shared" si="4"/>
        <v>15</v>
      </c>
      <c r="D63" s="52">
        <f t="shared" si="5"/>
        <v>30</v>
      </c>
      <c r="E63" s="52">
        <f t="shared" si="9"/>
        <v>90</v>
      </c>
      <c r="F63" s="67">
        <f t="shared" si="12"/>
        <v>83</v>
      </c>
      <c r="G63" s="52">
        <f t="shared" si="13"/>
        <v>996.15000000000009</v>
      </c>
      <c r="H63" s="52">
        <f t="shared" si="6"/>
        <v>2988.4500000000003</v>
      </c>
      <c r="I63" s="52">
        <f t="shared" si="7"/>
        <v>1992.3000000000002</v>
      </c>
      <c r="J63" s="69">
        <f t="shared" si="10"/>
        <v>42061.600000000006</v>
      </c>
      <c r="K63" s="70">
        <f t="shared" si="14"/>
        <v>49</v>
      </c>
      <c r="L63" s="132"/>
      <c r="M63" s="38">
        <f>Characters!$F$13+((Characters!$M$13 )*(Floor!$F63-1))</f>
        <v>5070</v>
      </c>
      <c r="N63" s="39">
        <f>Characters!$F$14+((Characters!$M$14 )*(Floor!F63-1))</f>
        <v>5070</v>
      </c>
      <c r="O63" s="39">
        <f>Characters!$F$15+((Characters!$M$15 )*(Floor!$F63-1))</f>
        <v>5070</v>
      </c>
      <c r="P63" s="39">
        <f>Characters!$F$16+((Characters!$M$16 )*(Floor!$F63-1))</f>
        <v>5070</v>
      </c>
      <c r="Q63" s="39">
        <f>Characters!$F$17+((Characters!$M$17)*(Floor!$F63-1))</f>
        <v>5070</v>
      </c>
      <c r="R63" s="39">
        <f>Characters!$F$18+((Characters!$M$18 )*(Floor!$F63-1))</f>
        <v>5070</v>
      </c>
      <c r="S63" s="33">
        <f>Characters!$F$19+((Characters!$M$19 )*(Floor!$F63-1))</f>
        <v>5070</v>
      </c>
      <c r="T63" s="38">
        <f>_xlfn.FLOOR.MATH((Characters!$J$13+Characters!$Q$13*(Floor!$F63-1))*5/2)</f>
        <v>635</v>
      </c>
      <c r="U63" s="39">
        <f>_xlfn.FLOOR.MATH((Characters!$J$14+Characters!$Q$14*(Floor!$F63-1))*5/2)</f>
        <v>635</v>
      </c>
      <c r="V63" s="39">
        <f>_xlfn.FLOOR.MATH((Characters!$J$15+Characters!$Q$15*(Floor!$F63-1))*5/2)</f>
        <v>635</v>
      </c>
      <c r="W63" s="39">
        <f>_xlfn.FLOOR.MATH((Characters!$J$16+Characters!$Q$16*(Floor!$F63-1))*5/2)</f>
        <v>635</v>
      </c>
      <c r="X63" s="39">
        <f>_xlfn.FLOOR.MATH((Characters!$J$17+Characters!$Q$17*(Floor!$F63-1))*5/2)</f>
        <v>635</v>
      </c>
      <c r="Y63" s="39">
        <f>_xlfn.FLOOR.MATH((Characters!$J$18+Characters!$Q$18*(Floor!$F63-1))*5/2)</f>
        <v>635</v>
      </c>
      <c r="Z63" s="39">
        <f>_xlfn.FLOOR.MATH((Characters!$J$19+Characters!$Q$19*(Floor!$F63-1))*5/2)</f>
        <v>635</v>
      </c>
      <c r="AA63" s="38">
        <f>_xlfn.FLOOR.MATH((Characters!$G$13+Characters!$N$13*(Floor!$F63-1))*10/2) + _xlfn.FLOOR.MATH((($AI63-1)*Characters!$P$13+Characters!$I$13)*5/2)</f>
        <v>590</v>
      </c>
      <c r="AB63" s="39">
        <f>_xlfn.FLOOR.MATH((Characters!$G$14+Characters!$N$14*(Floor!$F63-1))*10/2) + _xlfn.FLOOR.MATH((($AI63-1)*Characters!$P$14+Characters!$I$14)*5/2)</f>
        <v>590</v>
      </c>
      <c r="AC63" s="39">
        <f>_xlfn.FLOOR.MATH((Characters!$G$15+Characters!$N$15*(Floor!$F63-1))*10/2) + _xlfn.FLOOR.MATH((($AI63-1)*Characters!$P$15+Characters!$I$15)*5/2)</f>
        <v>590</v>
      </c>
      <c r="AD63" s="39">
        <f>_xlfn.FLOOR.MATH((Characters!$G$16+Characters!$N$16*(Floor!$F63-1))*10/2) + _xlfn.FLOOR.MATH((($AI63-1)*Characters!$P$16+Characters!$I$16)*5/2)</f>
        <v>590</v>
      </c>
      <c r="AE63" s="39">
        <f>_xlfn.FLOOR.MATH((Characters!$G$17+Characters!$N$17*(Floor!$F63-1))*10/2) + _xlfn.FLOOR.MATH((($AI63-1)*Characters!$P$17+Characters!$I$17)*5/2)</f>
        <v>590</v>
      </c>
      <c r="AF63" s="39">
        <f>_xlfn.FLOOR.MATH((Characters!$G$18+Characters!$N$18*(Floor!$F63-1))*10/2) + _xlfn.FLOOR.MATH((($AI63-1)*Characters!$P$18+Characters!$I$18)*5/2)</f>
        <v>590</v>
      </c>
      <c r="AG63" s="33">
        <f>_xlfn.FLOOR.MATH((Characters!$G$19+Characters!$N$19*(Floor!$F63-1))*10/2) + _xlfn.FLOOR.MATH((($AI63-1)*Characters!$P$19+Characters!$I$19)*5/2)</f>
        <v>590</v>
      </c>
      <c r="AH63" s="67"/>
      <c r="AI63" s="38">
        <v>56</v>
      </c>
      <c r="AJ63" s="71">
        <f t="shared" si="2"/>
        <v>3137.8</v>
      </c>
      <c r="AK63" s="105">
        <f t="shared" si="11"/>
        <v>60278.399999999994</v>
      </c>
      <c r="AL63" s="38">
        <f>_xlfn.FLOOR.MATH(($AI63-1)*Characters!$M$7+Characters!$F$7)+$AK$5</f>
        <v>6050</v>
      </c>
      <c r="AM63" s="39">
        <f>_xlfn.FLOOR.MATH(($AI63-1)*Characters!$M$8+Characters!$F$8)+$AK$5</f>
        <v>7200</v>
      </c>
      <c r="AN63" s="39">
        <f>_xlfn.FLOOR.MATH(($AI63-1)*Characters!$M$9+Characters!$F$9)+$AK$5</f>
        <v>5705</v>
      </c>
      <c r="AO63" s="39">
        <f>_xlfn.FLOOR.MATH(($AI63-1)*Characters!$M$10+Characters!$F$10)+$AK$5</f>
        <v>6285</v>
      </c>
      <c r="AP63" s="39">
        <f>_xlfn.FLOOR.MATH(($AI63-1)*Characters!$M$11+Characters!$F$11)+$AK$5</f>
        <v>5705</v>
      </c>
      <c r="AQ63" s="39">
        <f>_xlfn.FLOOR.MATH(($AI63-1)*Characters!$M$12+Characters!$F$12)+$AK$5</f>
        <v>6560</v>
      </c>
      <c r="AR63" s="38">
        <f>_xlfn.FLOOR.MATH((($AI63-1)*Characters!$Q$7+Characters!$J$7+$AK$4)*5/2)</f>
        <v>171</v>
      </c>
      <c r="AS63" s="39">
        <f>_xlfn.FLOOR.MATH((($AI63-1)*Characters!$Q$8+Characters!$J$8+$AK$4)*5/2)</f>
        <v>192</v>
      </c>
      <c r="AT63" s="39">
        <f>_xlfn.FLOOR.MATH((($AI63-1)*Characters!$Q$9+Characters!$J$9+$AK$4)*5/2)</f>
        <v>146</v>
      </c>
      <c r="AU63" s="39">
        <f>_xlfn.FLOOR.MATH((($AI63-1)*Characters!$Q$10+Characters!$J$10+$AK$4)*5/2)</f>
        <v>173</v>
      </c>
      <c r="AV63" s="39">
        <f>_xlfn.FLOOR.MATH((($AI63-1)*Characters!$Q$11+Characters!$J$11+$AK$4)*5/2)</f>
        <v>143</v>
      </c>
      <c r="AW63" s="39">
        <f>_xlfn.FLOOR.MATH((($AI63-1)*Characters!$Q$12+Characters!$J$12+$AK$4)*5/2)</f>
        <v>192</v>
      </c>
      <c r="AX63" s="38">
        <f>_xlfn.FLOOR.MATH((($AI63-1)*Characters!$N$7+Characters!$G$7+$AK$2)*10/2) + _xlfn.FLOOR.MATH((($AI63-1)*Characters!$P$7+Characters!$I$7+$AK$3)*5/2)</f>
        <v>243</v>
      </c>
      <c r="AY63" s="39">
        <f>_xlfn.FLOOR.MATH((($AI63-1)*Characters!$N$8+Characters!$G$8+$AK$2)*10/2) + _xlfn.FLOOR.MATH((($AI63-1)*Characters!$P$8+Characters!$I$8+$AK$3)*5/2)</f>
        <v>327</v>
      </c>
      <c r="AZ63" s="39">
        <f>_xlfn.FLOOR.MATH((($AI63-1)*Characters!$N$9+Characters!$G$9+$AK$2)*10/2) + _xlfn.FLOOR.MATH((($AI63-1)*Characters!$P$9+Characters!$I$9+$AK$3)*5/2)</f>
        <v>131</v>
      </c>
      <c r="BA63" s="39">
        <f>_xlfn.FLOOR.MATH((($AI63-1)*Characters!$N$10+Characters!$G$10+$AK$2)*10/2) + _xlfn.FLOOR.MATH((($AI63-1)*Characters!$P$10+Characters!$I$10+$AK$3)*5/2)</f>
        <v>379</v>
      </c>
      <c r="BB63" s="39">
        <f>_xlfn.FLOOR.MATH((($AI63-1)*Characters!$N$11+Characters!$G$11+$AK$2)*10/2) + _xlfn.FLOOR.MATH((($AI63-1)*Characters!$P$11+Characters!$I$11+$AK$3)*5/2)</f>
        <v>147</v>
      </c>
      <c r="BC63" s="33">
        <f>_xlfn.FLOOR.MATH((($AI63-1)*Characters!$N$12+Characters!$G$12+$AK$2)*10/2) + _xlfn.FLOOR.MATH((($AI63-1)*Characters!$P$12+Characters!$I$12+$AK$3)*5/2)</f>
        <v>355</v>
      </c>
    </row>
    <row r="64" spans="1:55" ht="18" customHeight="1">
      <c r="A64" s="38">
        <v>57</v>
      </c>
      <c r="B64" s="20">
        <f t="shared" si="3"/>
        <v>17</v>
      </c>
      <c r="C64" s="20">
        <f t="shared" si="4"/>
        <v>15</v>
      </c>
      <c r="D64" s="52">
        <f t="shared" si="5"/>
        <v>30</v>
      </c>
      <c r="E64" s="52">
        <f t="shared" si="9"/>
        <v>90</v>
      </c>
      <c r="F64" s="67">
        <f t="shared" si="12"/>
        <v>85</v>
      </c>
      <c r="G64" s="52">
        <f t="shared" si="13"/>
        <v>1020.15</v>
      </c>
      <c r="H64" s="52">
        <f t="shared" si="6"/>
        <v>3060.4500000000003</v>
      </c>
      <c r="I64" s="52">
        <f t="shared" si="7"/>
        <v>2040.3000000000002</v>
      </c>
      <c r="J64" s="69">
        <f t="shared" si="10"/>
        <v>44101.900000000009</v>
      </c>
      <c r="K64" s="70">
        <f t="shared" si="14"/>
        <v>50</v>
      </c>
      <c r="L64" s="132"/>
      <c r="M64" s="38">
        <f>Characters!$F$13+((Characters!$M$13 )*(Floor!$F64-1))</f>
        <v>5190</v>
      </c>
      <c r="N64" s="39">
        <f>Characters!$F$14+((Characters!$M$14 )*(Floor!F64-1))</f>
        <v>5190</v>
      </c>
      <c r="O64" s="39">
        <f>Characters!$F$15+((Characters!$M$15 )*(Floor!$F64-1))</f>
        <v>5190</v>
      </c>
      <c r="P64" s="39">
        <f>Characters!$F$16+((Characters!$M$16 )*(Floor!$F64-1))</f>
        <v>5190</v>
      </c>
      <c r="Q64" s="39">
        <f>Characters!$F$17+((Characters!$M$17)*(Floor!$F64-1))</f>
        <v>5190</v>
      </c>
      <c r="R64" s="39">
        <f>Characters!$F$18+((Characters!$M$18 )*(Floor!$F64-1))</f>
        <v>5190</v>
      </c>
      <c r="S64" s="33">
        <f>Characters!$F$19+((Characters!$M$19 )*(Floor!$F64-1))</f>
        <v>5190</v>
      </c>
      <c r="T64" s="38">
        <f>_xlfn.FLOOR.MATH((Characters!$J$13+Characters!$Q$13*(Floor!$F64-1))*5/2)</f>
        <v>650</v>
      </c>
      <c r="U64" s="39">
        <f>_xlfn.FLOOR.MATH((Characters!$J$14+Characters!$Q$14*(Floor!$F64-1))*5/2)</f>
        <v>650</v>
      </c>
      <c r="V64" s="39">
        <f>_xlfn.FLOOR.MATH((Characters!$J$15+Characters!$Q$15*(Floor!$F64-1))*5/2)</f>
        <v>650</v>
      </c>
      <c r="W64" s="39">
        <f>_xlfn.FLOOR.MATH((Characters!$J$16+Characters!$Q$16*(Floor!$F64-1))*5/2)</f>
        <v>650</v>
      </c>
      <c r="X64" s="39">
        <f>_xlfn.FLOOR.MATH((Characters!$J$17+Characters!$Q$17*(Floor!$F64-1))*5/2)</f>
        <v>650</v>
      </c>
      <c r="Y64" s="39">
        <f>_xlfn.FLOOR.MATH((Characters!$J$18+Characters!$Q$18*(Floor!$F64-1))*5/2)</f>
        <v>650</v>
      </c>
      <c r="Z64" s="39">
        <f>_xlfn.FLOOR.MATH((Characters!$J$19+Characters!$Q$19*(Floor!$F64-1))*5/2)</f>
        <v>650</v>
      </c>
      <c r="AA64" s="38">
        <f>_xlfn.FLOOR.MATH((Characters!$G$13+Characters!$N$13*(Floor!$F64-1))*10/2) + _xlfn.FLOOR.MATH((($AI64-1)*Characters!$P$13+Characters!$I$13)*5/2)</f>
        <v>604</v>
      </c>
      <c r="AB64" s="39">
        <f>_xlfn.FLOOR.MATH((Characters!$G$14+Characters!$N$14*(Floor!$F64-1))*10/2) + _xlfn.FLOOR.MATH((($AI64-1)*Characters!$P$14+Characters!$I$14)*5/2)</f>
        <v>604</v>
      </c>
      <c r="AC64" s="39">
        <f>_xlfn.FLOOR.MATH((Characters!$G$15+Characters!$N$15*(Floor!$F64-1))*10/2) + _xlfn.FLOOR.MATH((($AI64-1)*Characters!$P$15+Characters!$I$15)*5/2)</f>
        <v>604</v>
      </c>
      <c r="AD64" s="39">
        <f>_xlfn.FLOOR.MATH((Characters!$G$16+Characters!$N$16*(Floor!$F64-1))*10/2) + _xlfn.FLOOR.MATH((($AI64-1)*Characters!$P$16+Characters!$I$16)*5/2)</f>
        <v>604</v>
      </c>
      <c r="AE64" s="39">
        <f>_xlfn.FLOOR.MATH((Characters!$G$17+Characters!$N$17*(Floor!$F64-1))*10/2) + _xlfn.FLOOR.MATH((($AI64-1)*Characters!$P$17+Characters!$I$17)*5/2)</f>
        <v>604</v>
      </c>
      <c r="AF64" s="39">
        <f>_xlfn.FLOOR.MATH((Characters!$G$18+Characters!$N$18*(Floor!$F64-1))*10/2) + _xlfn.FLOOR.MATH((($AI64-1)*Characters!$P$18+Characters!$I$18)*5/2)</f>
        <v>604</v>
      </c>
      <c r="AG64" s="33">
        <f>_xlfn.FLOOR.MATH((Characters!$G$19+Characters!$N$19*(Floor!$F64-1))*10/2) + _xlfn.FLOOR.MATH((($AI64-1)*Characters!$P$19+Characters!$I$19)*5/2)</f>
        <v>604</v>
      </c>
      <c r="AH64" s="67"/>
      <c r="AI64" s="38">
        <v>57</v>
      </c>
      <c r="AJ64" s="71">
        <f t="shared" si="2"/>
        <v>3250.7599999999998</v>
      </c>
      <c r="AK64" s="105">
        <f t="shared" si="11"/>
        <v>63529.159999999996</v>
      </c>
      <c r="AL64" s="38">
        <f>_xlfn.FLOOR.MATH(($AI64-1)*Characters!$M$7+Characters!$F$7)+$AK$5</f>
        <v>6080</v>
      </c>
      <c r="AM64" s="39">
        <f>_xlfn.FLOOR.MATH(($AI64-1)*Characters!$M$8+Characters!$F$8)+$AK$5</f>
        <v>7250</v>
      </c>
      <c r="AN64" s="39">
        <f>_xlfn.FLOOR.MATH(($AI64-1)*Characters!$M$9+Characters!$F$9)+$AK$5</f>
        <v>5730</v>
      </c>
      <c r="AO64" s="39">
        <f>_xlfn.FLOOR.MATH(($AI64-1)*Characters!$M$10+Characters!$F$10)+$AK$5</f>
        <v>6320</v>
      </c>
      <c r="AP64" s="39">
        <f>_xlfn.FLOOR.MATH(($AI64-1)*Characters!$M$11+Characters!$F$11)+$AK$5</f>
        <v>5730</v>
      </c>
      <c r="AQ64" s="39">
        <f>_xlfn.FLOOR.MATH(($AI64-1)*Characters!$M$12+Characters!$F$12)+$AK$5</f>
        <v>6600</v>
      </c>
      <c r="AR64" s="38">
        <f>_xlfn.FLOOR.MATH((($AI64-1)*Characters!$Q$7+Characters!$J$7+$AK$4)*5/2)</f>
        <v>172</v>
      </c>
      <c r="AS64" s="39">
        <f>_xlfn.FLOOR.MATH((($AI64-1)*Characters!$Q$8+Characters!$J$8+$AK$4)*5/2)</f>
        <v>194</v>
      </c>
      <c r="AT64" s="39">
        <f>_xlfn.FLOOR.MATH((($AI64-1)*Characters!$Q$9+Characters!$J$9+$AK$4)*5/2)</f>
        <v>147</v>
      </c>
      <c r="AU64" s="39">
        <f>_xlfn.FLOOR.MATH((($AI64-1)*Characters!$Q$10+Characters!$J$10+$AK$4)*5/2)</f>
        <v>175</v>
      </c>
      <c r="AV64" s="39">
        <f>_xlfn.FLOOR.MATH((($AI64-1)*Characters!$Q$11+Characters!$J$11+$AK$4)*5/2)</f>
        <v>144</v>
      </c>
      <c r="AW64" s="39">
        <f>_xlfn.FLOOR.MATH((($AI64-1)*Characters!$Q$12+Characters!$J$12+$AK$4)*5/2)</f>
        <v>194</v>
      </c>
      <c r="AX64" s="38">
        <f>_xlfn.FLOOR.MATH((($AI64-1)*Characters!$N$7+Characters!$G$7+$AK$2)*10/2) + _xlfn.FLOOR.MATH((($AI64-1)*Characters!$P$7+Characters!$I$7+$AK$3)*5/2)</f>
        <v>247</v>
      </c>
      <c r="AY64" s="39">
        <f>_xlfn.FLOOR.MATH((($AI64-1)*Characters!$N$8+Characters!$G$8+$AK$2)*10/2) + _xlfn.FLOOR.MATH((($AI64-1)*Characters!$P$8+Characters!$I$8+$AK$3)*5/2)</f>
        <v>332</v>
      </c>
      <c r="AZ64" s="39">
        <f>_xlfn.FLOOR.MATH((($AI64-1)*Characters!$N$9+Characters!$G$9+$AK$2)*10/2) + _xlfn.FLOOR.MATH((($AI64-1)*Characters!$P$9+Characters!$I$9+$AK$3)*5/2)</f>
        <v>133</v>
      </c>
      <c r="BA64" s="39">
        <f>_xlfn.FLOOR.MATH((($AI64-1)*Characters!$N$10+Characters!$G$10+$AK$2)*10/2) + _xlfn.FLOOR.MATH((($AI64-1)*Characters!$P$10+Characters!$I$10+$AK$3)*5/2)</f>
        <v>385</v>
      </c>
      <c r="BB64" s="39">
        <f>_xlfn.FLOOR.MATH((($AI64-1)*Characters!$N$11+Characters!$G$11+$AK$2)*10/2) + _xlfn.FLOOR.MATH((($AI64-1)*Characters!$P$11+Characters!$I$11+$AK$3)*5/2)</f>
        <v>149</v>
      </c>
      <c r="BC64" s="33">
        <f>_xlfn.FLOOR.MATH((($AI64-1)*Characters!$N$12+Characters!$G$12+$AK$2)*10/2) + _xlfn.FLOOR.MATH((($AI64-1)*Characters!$P$12+Characters!$I$12+$AK$3)*5/2)</f>
        <v>360</v>
      </c>
    </row>
    <row r="65" spans="1:55" ht="18" customHeight="1">
      <c r="A65" s="38">
        <v>58</v>
      </c>
      <c r="B65" s="20">
        <f t="shared" si="3"/>
        <v>17</v>
      </c>
      <c r="C65" s="20">
        <f t="shared" si="4"/>
        <v>15</v>
      </c>
      <c r="D65" s="52">
        <f t="shared" si="5"/>
        <v>30</v>
      </c>
      <c r="E65" s="52">
        <f t="shared" si="9"/>
        <v>90</v>
      </c>
      <c r="F65" s="67">
        <f t="shared" si="12"/>
        <v>86</v>
      </c>
      <c r="G65" s="52">
        <f t="shared" si="13"/>
        <v>1032.1500000000001</v>
      </c>
      <c r="H65" s="52">
        <f t="shared" si="6"/>
        <v>3096.4500000000003</v>
      </c>
      <c r="I65" s="52">
        <f t="shared" si="7"/>
        <v>2064.3000000000002</v>
      </c>
      <c r="J65" s="69">
        <f t="shared" si="10"/>
        <v>46166.200000000012</v>
      </c>
      <c r="K65" s="70">
        <f t="shared" si="14"/>
        <v>51</v>
      </c>
      <c r="L65" s="132"/>
      <c r="M65" s="38">
        <f>Characters!$F$13+((Characters!$M$13 )*(Floor!$F65-1))</f>
        <v>5250</v>
      </c>
      <c r="N65" s="39">
        <f>Characters!$F$14+((Characters!$M$14 )*(Floor!F65-1))</f>
        <v>5250</v>
      </c>
      <c r="O65" s="39">
        <f>Characters!$F$15+((Characters!$M$15 )*(Floor!$F65-1))</f>
        <v>5250</v>
      </c>
      <c r="P65" s="39">
        <f>Characters!$F$16+((Characters!$M$16 )*(Floor!$F65-1))</f>
        <v>5250</v>
      </c>
      <c r="Q65" s="39">
        <f>Characters!$F$17+((Characters!$M$17)*(Floor!$F65-1))</f>
        <v>5250</v>
      </c>
      <c r="R65" s="39">
        <f>Characters!$F$18+((Characters!$M$18 )*(Floor!$F65-1))</f>
        <v>5250</v>
      </c>
      <c r="S65" s="33">
        <f>Characters!$F$19+((Characters!$M$19 )*(Floor!$F65-1))</f>
        <v>5250</v>
      </c>
      <c r="T65" s="38">
        <f>_xlfn.FLOOR.MATH((Characters!$J$13+Characters!$Q$13*(Floor!$F65-1))*5/2)</f>
        <v>657</v>
      </c>
      <c r="U65" s="39">
        <f>_xlfn.FLOOR.MATH((Characters!$J$14+Characters!$Q$14*(Floor!$F65-1))*5/2)</f>
        <v>657</v>
      </c>
      <c r="V65" s="39">
        <f>_xlfn.FLOOR.MATH((Characters!$J$15+Characters!$Q$15*(Floor!$F65-1))*5/2)</f>
        <v>657</v>
      </c>
      <c r="W65" s="39">
        <f>_xlfn.FLOOR.MATH((Characters!$J$16+Characters!$Q$16*(Floor!$F65-1))*5/2)</f>
        <v>657</v>
      </c>
      <c r="X65" s="39">
        <f>_xlfn.FLOOR.MATH((Characters!$J$17+Characters!$Q$17*(Floor!$F65-1))*5/2)</f>
        <v>657</v>
      </c>
      <c r="Y65" s="39">
        <f>_xlfn.FLOOR.MATH((Characters!$J$18+Characters!$Q$18*(Floor!$F65-1))*5/2)</f>
        <v>657</v>
      </c>
      <c r="Z65" s="39">
        <f>_xlfn.FLOOR.MATH((Characters!$J$19+Characters!$Q$19*(Floor!$F65-1))*5/2)</f>
        <v>657</v>
      </c>
      <c r="AA65" s="38">
        <f>_xlfn.FLOOR.MATH((Characters!$G$13+Characters!$N$13*(Floor!$F65-1))*10/2) + _xlfn.FLOOR.MATH((($AI65-1)*Characters!$P$13+Characters!$I$13)*5/2)</f>
        <v>611</v>
      </c>
      <c r="AB65" s="39">
        <f>_xlfn.FLOOR.MATH((Characters!$G$14+Characters!$N$14*(Floor!$F65-1))*10/2) + _xlfn.FLOOR.MATH((($AI65-1)*Characters!$P$14+Characters!$I$14)*5/2)</f>
        <v>611</v>
      </c>
      <c r="AC65" s="39">
        <f>_xlfn.FLOOR.MATH((Characters!$G$15+Characters!$N$15*(Floor!$F65-1))*10/2) + _xlfn.FLOOR.MATH((($AI65-1)*Characters!$P$15+Characters!$I$15)*5/2)</f>
        <v>611</v>
      </c>
      <c r="AD65" s="39">
        <f>_xlfn.FLOOR.MATH((Characters!$G$16+Characters!$N$16*(Floor!$F65-1))*10/2) + _xlfn.FLOOR.MATH((($AI65-1)*Characters!$P$16+Characters!$I$16)*5/2)</f>
        <v>611</v>
      </c>
      <c r="AE65" s="39">
        <f>_xlfn.FLOOR.MATH((Characters!$G$17+Characters!$N$17*(Floor!$F65-1))*10/2) + _xlfn.FLOOR.MATH((($AI65-1)*Characters!$P$17+Characters!$I$17)*5/2)</f>
        <v>611</v>
      </c>
      <c r="AF65" s="39">
        <f>_xlfn.FLOOR.MATH((Characters!$G$18+Characters!$N$18*(Floor!$F65-1))*10/2) + _xlfn.FLOOR.MATH((($AI65-1)*Characters!$P$18+Characters!$I$18)*5/2)</f>
        <v>611</v>
      </c>
      <c r="AG65" s="33">
        <f>_xlfn.FLOOR.MATH((Characters!$G$19+Characters!$N$19*(Floor!$F65-1))*10/2) + _xlfn.FLOOR.MATH((($AI65-1)*Characters!$P$19+Characters!$I$19)*5/2)</f>
        <v>611</v>
      </c>
      <c r="AH65" s="67"/>
      <c r="AI65" s="38">
        <v>58</v>
      </c>
      <c r="AJ65" s="71">
        <f t="shared" si="2"/>
        <v>3365.72</v>
      </c>
      <c r="AK65" s="105">
        <f t="shared" si="11"/>
        <v>66894.87999999999</v>
      </c>
      <c r="AL65" s="38">
        <f>_xlfn.FLOOR.MATH(($AI65-1)*Characters!$M$7+Characters!$F$7)+$AK$5</f>
        <v>6110</v>
      </c>
      <c r="AM65" s="39">
        <f>_xlfn.FLOOR.MATH(($AI65-1)*Characters!$M$8+Characters!$F$8)+$AK$5</f>
        <v>7300</v>
      </c>
      <c r="AN65" s="39">
        <f>_xlfn.FLOOR.MATH(($AI65-1)*Characters!$M$9+Characters!$F$9)+$AK$5</f>
        <v>5755</v>
      </c>
      <c r="AO65" s="39">
        <f>_xlfn.FLOOR.MATH(($AI65-1)*Characters!$M$10+Characters!$F$10)+$AK$5</f>
        <v>6355</v>
      </c>
      <c r="AP65" s="39">
        <f>_xlfn.FLOOR.MATH(($AI65-1)*Characters!$M$11+Characters!$F$11)+$AK$5</f>
        <v>5755</v>
      </c>
      <c r="AQ65" s="39">
        <f>_xlfn.FLOOR.MATH(($AI65-1)*Characters!$M$12+Characters!$F$12)+$AK$5</f>
        <v>6640</v>
      </c>
      <c r="AR65" s="38">
        <f>_xlfn.FLOOR.MATH((($AI65-1)*Characters!$Q$7+Characters!$J$7+$AK$4)*5/2)</f>
        <v>173</v>
      </c>
      <c r="AS65" s="39">
        <f>_xlfn.FLOOR.MATH((($AI65-1)*Characters!$Q$8+Characters!$J$8+$AK$4)*5/2)</f>
        <v>195</v>
      </c>
      <c r="AT65" s="39">
        <f>_xlfn.FLOOR.MATH((($AI65-1)*Characters!$Q$9+Characters!$J$9+$AK$4)*5/2)</f>
        <v>147</v>
      </c>
      <c r="AU65" s="39">
        <f>_xlfn.FLOOR.MATH((($AI65-1)*Characters!$Q$10+Characters!$J$10+$AK$4)*5/2)</f>
        <v>176</v>
      </c>
      <c r="AV65" s="39">
        <f>_xlfn.FLOOR.MATH((($AI65-1)*Characters!$Q$11+Characters!$J$11+$AK$4)*5/2)</f>
        <v>145</v>
      </c>
      <c r="AW65" s="39">
        <f>_xlfn.FLOOR.MATH((($AI65-1)*Characters!$Q$12+Characters!$J$12+$AK$4)*5/2)</f>
        <v>195</v>
      </c>
      <c r="AX65" s="38">
        <f>_xlfn.FLOOR.MATH((($AI65-1)*Characters!$N$7+Characters!$G$7+$AK$2)*10/2) + _xlfn.FLOOR.MATH((($AI65-1)*Characters!$P$7+Characters!$I$7+$AK$3)*5/2)</f>
        <v>250</v>
      </c>
      <c r="AY65" s="39">
        <f>_xlfn.FLOOR.MATH((($AI65-1)*Characters!$N$8+Characters!$G$8+$AK$2)*10/2) + _xlfn.FLOOR.MATH((($AI65-1)*Characters!$P$8+Characters!$I$8+$AK$3)*5/2)</f>
        <v>336</v>
      </c>
      <c r="AZ65" s="39">
        <f>_xlfn.FLOOR.MATH((($AI65-1)*Characters!$N$9+Characters!$G$9+$AK$2)*10/2) + _xlfn.FLOOR.MATH((($AI65-1)*Characters!$P$9+Characters!$I$9+$AK$3)*5/2)</f>
        <v>134</v>
      </c>
      <c r="BA65" s="39">
        <f>_xlfn.FLOOR.MATH((($AI65-1)*Characters!$N$10+Characters!$G$10+$AK$2)*10/2) + _xlfn.FLOOR.MATH((($AI65-1)*Characters!$P$10+Characters!$I$10+$AK$3)*5/2)</f>
        <v>390</v>
      </c>
      <c r="BB65" s="39">
        <f>_xlfn.FLOOR.MATH((($AI65-1)*Characters!$N$11+Characters!$G$11+$AK$2)*10/2) + _xlfn.FLOOR.MATH((($AI65-1)*Characters!$P$11+Characters!$I$11+$AK$3)*5/2)</f>
        <v>151</v>
      </c>
      <c r="BC65" s="33">
        <f>_xlfn.FLOOR.MATH((($AI65-1)*Characters!$N$12+Characters!$G$12+$AK$2)*10/2) + _xlfn.FLOOR.MATH((($AI65-1)*Characters!$P$12+Characters!$I$12+$AK$3)*5/2)</f>
        <v>365</v>
      </c>
    </row>
    <row r="66" spans="1:55" ht="18" customHeight="1">
      <c r="A66" s="38">
        <v>59</v>
      </c>
      <c r="B66" s="20">
        <f t="shared" si="3"/>
        <v>17</v>
      </c>
      <c r="C66" s="20">
        <f t="shared" si="4"/>
        <v>15</v>
      </c>
      <c r="D66" s="52">
        <f t="shared" si="5"/>
        <v>30</v>
      </c>
      <c r="E66" s="52">
        <f t="shared" si="9"/>
        <v>90</v>
      </c>
      <c r="F66" s="67">
        <f t="shared" si="12"/>
        <v>88</v>
      </c>
      <c r="G66" s="52">
        <f t="shared" si="13"/>
        <v>1056.1500000000001</v>
      </c>
      <c r="H66" s="52">
        <f t="shared" si="6"/>
        <v>3168.4500000000003</v>
      </c>
      <c r="I66" s="52">
        <f t="shared" si="7"/>
        <v>2112.3000000000002</v>
      </c>
      <c r="J66" s="69">
        <f t="shared" si="10"/>
        <v>48278.500000000015</v>
      </c>
      <c r="K66" s="70">
        <f t="shared" si="14"/>
        <v>51</v>
      </c>
      <c r="L66" s="132"/>
      <c r="M66" s="38">
        <f>Characters!$F$13+((Characters!$M$13 )*(Floor!$F66-1))</f>
        <v>5370</v>
      </c>
      <c r="N66" s="39">
        <f>Characters!$F$14+((Characters!$M$14 )*(Floor!F66-1))</f>
        <v>5370</v>
      </c>
      <c r="O66" s="39">
        <f>Characters!$F$15+((Characters!$M$15 )*(Floor!$F66-1))</f>
        <v>5370</v>
      </c>
      <c r="P66" s="39">
        <f>Characters!$F$16+((Characters!$M$16 )*(Floor!$F66-1))</f>
        <v>5370</v>
      </c>
      <c r="Q66" s="39">
        <f>Characters!$F$17+((Characters!$M$17)*(Floor!$F66-1))</f>
        <v>5370</v>
      </c>
      <c r="R66" s="39">
        <f>Characters!$F$18+((Characters!$M$18 )*(Floor!$F66-1))</f>
        <v>5370</v>
      </c>
      <c r="S66" s="33">
        <f>Characters!$F$19+((Characters!$M$19 )*(Floor!$F66-1))</f>
        <v>5370</v>
      </c>
      <c r="T66" s="38">
        <f>_xlfn.FLOOR.MATH((Characters!$J$13+Characters!$Q$13*(Floor!$F66-1))*5/2)</f>
        <v>672</v>
      </c>
      <c r="U66" s="39">
        <f>_xlfn.FLOOR.MATH((Characters!$J$14+Characters!$Q$14*(Floor!$F66-1))*5/2)</f>
        <v>672</v>
      </c>
      <c r="V66" s="39">
        <f>_xlfn.FLOOR.MATH((Characters!$J$15+Characters!$Q$15*(Floor!$F66-1))*5/2)</f>
        <v>672</v>
      </c>
      <c r="W66" s="39">
        <f>_xlfn.FLOOR.MATH((Characters!$J$16+Characters!$Q$16*(Floor!$F66-1))*5/2)</f>
        <v>672</v>
      </c>
      <c r="X66" s="39">
        <f>_xlfn.FLOOR.MATH((Characters!$J$17+Characters!$Q$17*(Floor!$F66-1))*5/2)</f>
        <v>672</v>
      </c>
      <c r="Y66" s="39">
        <f>_xlfn.FLOOR.MATH((Characters!$J$18+Characters!$Q$18*(Floor!$F66-1))*5/2)</f>
        <v>672</v>
      </c>
      <c r="Z66" s="39">
        <f>_xlfn.FLOOR.MATH((Characters!$J$19+Characters!$Q$19*(Floor!$F66-1))*5/2)</f>
        <v>672</v>
      </c>
      <c r="AA66" s="38">
        <f>_xlfn.FLOOR.MATH((Characters!$G$13+Characters!$N$13*(Floor!$F66-1))*10/2) + _xlfn.FLOOR.MATH((($AI66-1)*Characters!$P$13+Characters!$I$13)*5/2)</f>
        <v>624</v>
      </c>
      <c r="AB66" s="39">
        <f>_xlfn.FLOOR.MATH((Characters!$G$14+Characters!$N$14*(Floor!$F66-1))*10/2) + _xlfn.FLOOR.MATH((($AI66-1)*Characters!$P$14+Characters!$I$14)*5/2)</f>
        <v>624</v>
      </c>
      <c r="AC66" s="39">
        <f>_xlfn.FLOOR.MATH((Characters!$G$15+Characters!$N$15*(Floor!$F66-1))*10/2) + _xlfn.FLOOR.MATH((($AI66-1)*Characters!$P$15+Characters!$I$15)*5/2)</f>
        <v>624</v>
      </c>
      <c r="AD66" s="39">
        <f>_xlfn.FLOOR.MATH((Characters!$G$16+Characters!$N$16*(Floor!$F66-1))*10/2) + _xlfn.FLOOR.MATH((($AI66-1)*Characters!$P$16+Characters!$I$16)*5/2)</f>
        <v>624</v>
      </c>
      <c r="AE66" s="39">
        <f>_xlfn.FLOOR.MATH((Characters!$G$17+Characters!$N$17*(Floor!$F66-1))*10/2) + _xlfn.FLOOR.MATH((($AI66-1)*Characters!$P$17+Characters!$I$17)*5/2)</f>
        <v>624</v>
      </c>
      <c r="AF66" s="39">
        <f>_xlfn.FLOOR.MATH((Characters!$G$18+Characters!$N$18*(Floor!$F66-1))*10/2) + _xlfn.FLOOR.MATH((($AI66-1)*Characters!$P$18+Characters!$I$18)*5/2)</f>
        <v>624</v>
      </c>
      <c r="AG66" s="33">
        <f>_xlfn.FLOOR.MATH((Characters!$G$19+Characters!$N$19*(Floor!$F66-1))*10/2) + _xlfn.FLOOR.MATH((($AI66-1)*Characters!$P$19+Characters!$I$19)*5/2)</f>
        <v>624</v>
      </c>
      <c r="AH66" s="67"/>
      <c r="AI66" s="38">
        <v>59</v>
      </c>
      <c r="AJ66" s="71">
        <f t="shared" si="2"/>
        <v>3482.68</v>
      </c>
      <c r="AK66" s="105">
        <f t="shared" si="11"/>
        <v>70377.559999999983</v>
      </c>
      <c r="AL66" s="38">
        <f>_xlfn.FLOOR.MATH(($AI66-1)*Characters!$M$7+Characters!$F$7)+$AK$5</f>
        <v>6140</v>
      </c>
      <c r="AM66" s="39">
        <f>_xlfn.FLOOR.MATH(($AI66-1)*Characters!$M$8+Characters!$F$8)+$AK$5</f>
        <v>7350</v>
      </c>
      <c r="AN66" s="39">
        <f>_xlfn.FLOOR.MATH(($AI66-1)*Characters!$M$9+Characters!$F$9)+$AK$5</f>
        <v>5780</v>
      </c>
      <c r="AO66" s="39">
        <f>_xlfn.FLOOR.MATH(($AI66-1)*Characters!$M$10+Characters!$F$10)+$AK$5</f>
        <v>6390</v>
      </c>
      <c r="AP66" s="39">
        <f>_xlfn.FLOOR.MATH(($AI66-1)*Characters!$M$11+Characters!$F$11)+$AK$5</f>
        <v>5780</v>
      </c>
      <c r="AQ66" s="39">
        <f>_xlfn.FLOOR.MATH(($AI66-1)*Characters!$M$12+Characters!$F$12)+$AK$5</f>
        <v>6680</v>
      </c>
      <c r="AR66" s="38">
        <f>_xlfn.FLOOR.MATH((($AI66-1)*Characters!$Q$7+Characters!$J$7+$AK$4)*5/2)</f>
        <v>175</v>
      </c>
      <c r="AS66" s="39">
        <f>_xlfn.FLOOR.MATH((($AI66-1)*Characters!$Q$8+Characters!$J$8+$AK$4)*5/2)</f>
        <v>197</v>
      </c>
      <c r="AT66" s="39">
        <f>_xlfn.FLOOR.MATH((($AI66-1)*Characters!$Q$9+Characters!$J$9+$AK$4)*5/2)</f>
        <v>148</v>
      </c>
      <c r="AU66" s="39">
        <f>_xlfn.FLOOR.MATH((($AI66-1)*Characters!$Q$10+Characters!$J$10+$AK$4)*5/2)</f>
        <v>177</v>
      </c>
      <c r="AV66" s="39">
        <f>_xlfn.FLOOR.MATH((($AI66-1)*Characters!$Q$11+Characters!$J$11+$AK$4)*5/2)</f>
        <v>146</v>
      </c>
      <c r="AW66" s="39">
        <f>_xlfn.FLOOR.MATH((($AI66-1)*Characters!$Q$12+Characters!$J$12+$AK$4)*5/2)</f>
        <v>197</v>
      </c>
      <c r="AX66" s="38">
        <f>_xlfn.FLOOR.MATH((($AI66-1)*Characters!$N$7+Characters!$G$7+$AK$2)*10/2) + _xlfn.FLOOR.MATH((($AI66-1)*Characters!$P$7+Characters!$I$7+$AK$3)*5/2)</f>
        <v>255</v>
      </c>
      <c r="AY66" s="39">
        <f>_xlfn.FLOOR.MATH((($AI66-1)*Characters!$N$8+Characters!$G$8+$AK$2)*10/2) + _xlfn.FLOOR.MATH((($AI66-1)*Characters!$P$8+Characters!$I$8+$AK$3)*5/2)</f>
        <v>341</v>
      </c>
      <c r="AZ66" s="39">
        <f>_xlfn.FLOOR.MATH((($AI66-1)*Characters!$N$9+Characters!$G$9+$AK$2)*10/2) + _xlfn.FLOOR.MATH((($AI66-1)*Characters!$P$9+Characters!$I$9+$AK$3)*5/2)</f>
        <v>136</v>
      </c>
      <c r="BA66" s="39">
        <f>_xlfn.FLOOR.MATH((($AI66-1)*Characters!$N$10+Characters!$G$10+$AK$2)*10/2) + _xlfn.FLOOR.MATH((($AI66-1)*Characters!$P$10+Characters!$I$10+$AK$3)*5/2)</f>
        <v>396</v>
      </c>
      <c r="BB66" s="39">
        <f>_xlfn.FLOOR.MATH((($AI66-1)*Characters!$N$11+Characters!$G$11+$AK$2)*10/2) + _xlfn.FLOOR.MATH((($AI66-1)*Characters!$P$11+Characters!$I$11+$AK$3)*5/2)</f>
        <v>153</v>
      </c>
      <c r="BC66" s="33">
        <f>_xlfn.FLOOR.MATH((($AI66-1)*Characters!$N$12+Characters!$G$12+$AK$2)*10/2) + _xlfn.FLOOR.MATH((($AI66-1)*Characters!$P$12+Characters!$I$12+$AK$3)*5/2)</f>
        <v>370</v>
      </c>
    </row>
    <row r="67" spans="1:55" ht="18" customHeight="1">
      <c r="A67" s="38">
        <v>60</v>
      </c>
      <c r="B67" s="20">
        <f t="shared" si="3"/>
        <v>18</v>
      </c>
      <c r="C67" s="20">
        <f t="shared" si="4"/>
        <v>16</v>
      </c>
      <c r="D67" s="52">
        <f t="shared" si="5"/>
        <v>32</v>
      </c>
      <c r="E67" s="52">
        <f t="shared" si="9"/>
        <v>96</v>
      </c>
      <c r="F67" s="67">
        <f t="shared" si="12"/>
        <v>89</v>
      </c>
      <c r="G67" s="52">
        <f t="shared" si="13"/>
        <v>1139.3500000000001</v>
      </c>
      <c r="H67" s="52">
        <f t="shared" si="6"/>
        <v>3418.05</v>
      </c>
      <c r="I67" s="52">
        <f t="shared" si="7"/>
        <v>2278.7000000000003</v>
      </c>
      <c r="J67" s="69">
        <f t="shared" si="10"/>
        <v>50557.200000000012</v>
      </c>
      <c r="K67" s="70">
        <f t="shared" si="14"/>
        <v>52</v>
      </c>
      <c r="L67" s="132"/>
      <c r="M67" s="38">
        <f>Characters!$F$13+((Characters!$M$13 )*(Floor!$F67-1))</f>
        <v>5430</v>
      </c>
      <c r="N67" s="39">
        <f>Characters!$F$14+((Characters!$M$14 )*(Floor!F67-1))</f>
        <v>5430</v>
      </c>
      <c r="O67" s="39">
        <f>Characters!$F$15+((Characters!$M$15 )*(Floor!$F67-1))</f>
        <v>5430</v>
      </c>
      <c r="P67" s="39">
        <f>Characters!$F$16+((Characters!$M$16 )*(Floor!$F67-1))</f>
        <v>5430</v>
      </c>
      <c r="Q67" s="39">
        <f>Characters!$F$17+((Characters!$M$17)*(Floor!$F67-1))</f>
        <v>5430</v>
      </c>
      <c r="R67" s="39">
        <f>Characters!$F$18+((Characters!$M$18 )*(Floor!$F67-1))</f>
        <v>5430</v>
      </c>
      <c r="S67" s="33">
        <f>Characters!$F$19+((Characters!$M$19 )*(Floor!$F67-1))</f>
        <v>5430</v>
      </c>
      <c r="T67" s="38">
        <f>_xlfn.FLOOR.MATH((Characters!$J$13+Characters!$Q$13*(Floor!$F67-1))*5/2)</f>
        <v>680</v>
      </c>
      <c r="U67" s="39">
        <f>_xlfn.FLOOR.MATH((Characters!$J$14+Characters!$Q$14*(Floor!$F67-1))*5/2)</f>
        <v>680</v>
      </c>
      <c r="V67" s="39">
        <f>_xlfn.FLOOR.MATH((Characters!$J$15+Characters!$Q$15*(Floor!$F67-1))*5/2)</f>
        <v>680</v>
      </c>
      <c r="W67" s="39">
        <f>_xlfn.FLOOR.MATH((Characters!$J$16+Characters!$Q$16*(Floor!$F67-1))*5/2)</f>
        <v>680</v>
      </c>
      <c r="X67" s="39">
        <f>_xlfn.FLOOR.MATH((Characters!$J$17+Characters!$Q$17*(Floor!$F67-1))*5/2)</f>
        <v>680</v>
      </c>
      <c r="Y67" s="39">
        <f>_xlfn.FLOOR.MATH((Characters!$J$18+Characters!$Q$18*(Floor!$F67-1))*5/2)</f>
        <v>680</v>
      </c>
      <c r="Z67" s="39">
        <f>_xlfn.FLOOR.MATH((Characters!$J$19+Characters!$Q$19*(Floor!$F67-1))*5/2)</f>
        <v>680</v>
      </c>
      <c r="AA67" s="38">
        <f>_xlfn.FLOOR.MATH((Characters!$G$13+Characters!$N$13*(Floor!$F67-1))*10/2) + _xlfn.FLOOR.MATH((($AI67-1)*Characters!$P$13+Characters!$I$13)*5/2)</f>
        <v>631</v>
      </c>
      <c r="AB67" s="39">
        <f>_xlfn.FLOOR.MATH((Characters!$G$14+Characters!$N$14*(Floor!$F67-1))*10/2) + _xlfn.FLOOR.MATH((($AI67-1)*Characters!$P$14+Characters!$I$14)*5/2)</f>
        <v>631</v>
      </c>
      <c r="AC67" s="39">
        <f>_xlfn.FLOOR.MATH((Characters!$G$15+Characters!$N$15*(Floor!$F67-1))*10/2) + _xlfn.FLOOR.MATH((($AI67-1)*Characters!$P$15+Characters!$I$15)*5/2)</f>
        <v>631</v>
      </c>
      <c r="AD67" s="39">
        <f>_xlfn.FLOOR.MATH((Characters!$G$16+Characters!$N$16*(Floor!$F67-1))*10/2) + _xlfn.FLOOR.MATH((($AI67-1)*Characters!$P$16+Characters!$I$16)*5/2)</f>
        <v>631</v>
      </c>
      <c r="AE67" s="39">
        <f>_xlfn.FLOOR.MATH((Characters!$G$17+Characters!$N$17*(Floor!$F67-1))*10/2) + _xlfn.FLOOR.MATH((($AI67-1)*Characters!$P$17+Characters!$I$17)*5/2)</f>
        <v>631</v>
      </c>
      <c r="AF67" s="39">
        <f>_xlfn.FLOOR.MATH((Characters!$G$18+Characters!$N$18*(Floor!$F67-1))*10/2) + _xlfn.FLOOR.MATH((($AI67-1)*Characters!$P$18+Characters!$I$18)*5/2)</f>
        <v>631</v>
      </c>
      <c r="AG67" s="33">
        <f>_xlfn.FLOOR.MATH((Characters!$G$19+Characters!$N$19*(Floor!$F67-1))*10/2) + _xlfn.FLOOR.MATH((($AI67-1)*Characters!$P$19+Characters!$I$19)*5/2)</f>
        <v>631</v>
      </c>
      <c r="AH67" s="67"/>
      <c r="AI67" s="38">
        <v>60</v>
      </c>
      <c r="AJ67" s="71">
        <f t="shared" si="2"/>
        <v>3601.64</v>
      </c>
      <c r="AK67" s="105">
        <f t="shared" si="11"/>
        <v>73979.199999999983</v>
      </c>
      <c r="AL67" s="38">
        <f>_xlfn.FLOOR.MATH(($AI67-1)*Characters!$M$7+Characters!$F$7)+$AK$5</f>
        <v>6170</v>
      </c>
      <c r="AM67" s="39">
        <f>_xlfn.FLOOR.MATH(($AI67-1)*Characters!$M$8+Characters!$F$8)+$AK$5</f>
        <v>7400</v>
      </c>
      <c r="AN67" s="39">
        <f>_xlfn.FLOOR.MATH(($AI67-1)*Characters!$M$9+Characters!$F$9)+$AK$5</f>
        <v>5805</v>
      </c>
      <c r="AO67" s="39">
        <f>_xlfn.FLOOR.MATH(($AI67-1)*Characters!$M$10+Characters!$F$10)+$AK$5</f>
        <v>6425</v>
      </c>
      <c r="AP67" s="39">
        <f>_xlfn.FLOOR.MATH(($AI67-1)*Characters!$M$11+Characters!$F$11)+$AK$5</f>
        <v>5805</v>
      </c>
      <c r="AQ67" s="39">
        <f>_xlfn.FLOOR.MATH(($AI67-1)*Characters!$M$12+Characters!$F$12)+$AK$5</f>
        <v>6720</v>
      </c>
      <c r="AR67" s="38">
        <f>_xlfn.FLOOR.MATH((($AI67-1)*Characters!$Q$7+Characters!$J$7+$AK$4)*5/2)</f>
        <v>176</v>
      </c>
      <c r="AS67" s="39">
        <f>_xlfn.FLOOR.MATH((($AI67-1)*Characters!$Q$8+Characters!$J$8+$AK$4)*5/2)</f>
        <v>198</v>
      </c>
      <c r="AT67" s="39">
        <f>_xlfn.FLOOR.MATH((($AI67-1)*Characters!$Q$9+Characters!$J$9+$AK$4)*5/2)</f>
        <v>149</v>
      </c>
      <c r="AU67" s="39">
        <f>_xlfn.FLOOR.MATH((($AI67-1)*Characters!$Q$10+Characters!$J$10+$AK$4)*5/2)</f>
        <v>178</v>
      </c>
      <c r="AV67" s="39">
        <f>_xlfn.FLOOR.MATH((($AI67-1)*Characters!$Q$11+Characters!$J$11+$AK$4)*5/2)</f>
        <v>146</v>
      </c>
      <c r="AW67" s="39">
        <f>_xlfn.FLOOR.MATH((($AI67-1)*Characters!$Q$12+Characters!$J$12+$AK$4)*5/2)</f>
        <v>198</v>
      </c>
      <c r="AX67" s="38">
        <f>_xlfn.FLOOR.MATH((($AI67-1)*Characters!$N$7+Characters!$G$7+$AK$2)*10/2) + _xlfn.FLOOR.MATH((($AI67-1)*Characters!$P$7+Characters!$I$7+$AK$3)*5/2)</f>
        <v>258</v>
      </c>
      <c r="AY67" s="39">
        <f>_xlfn.FLOOR.MATH((($AI67-1)*Characters!$N$8+Characters!$G$8+$AK$2)*10/2) + _xlfn.FLOOR.MATH((($AI67-1)*Characters!$P$8+Characters!$I$8+$AK$3)*5/2)</f>
        <v>345</v>
      </c>
      <c r="AZ67" s="39">
        <f>_xlfn.FLOOR.MATH((($AI67-1)*Characters!$N$9+Characters!$G$9+$AK$2)*10/2) + _xlfn.FLOOR.MATH((($AI67-1)*Characters!$P$9+Characters!$I$9+$AK$3)*5/2)</f>
        <v>138</v>
      </c>
      <c r="BA67" s="39">
        <f>_xlfn.FLOOR.MATH((($AI67-1)*Characters!$N$10+Characters!$G$10+$AK$2)*10/2) + _xlfn.FLOOR.MATH((($AI67-1)*Characters!$P$10+Characters!$I$10+$AK$3)*5/2)</f>
        <v>401</v>
      </c>
      <c r="BB67" s="39">
        <f>_xlfn.FLOOR.MATH((($AI67-1)*Characters!$N$11+Characters!$G$11+$AK$2)*10/2) + _xlfn.FLOOR.MATH((($AI67-1)*Characters!$P$11+Characters!$I$11+$AK$3)*5/2)</f>
        <v>155</v>
      </c>
      <c r="BC67" s="33">
        <f>_xlfn.FLOOR.MATH((($AI67-1)*Characters!$N$12+Characters!$G$12+$AK$2)*10/2) + _xlfn.FLOOR.MATH((($AI67-1)*Characters!$P$12+Characters!$I$12+$AK$3)*5/2)</f>
        <v>375</v>
      </c>
    </row>
    <row r="68" spans="1:55" ht="18" customHeight="1">
      <c r="A68" s="38">
        <v>61</v>
      </c>
      <c r="B68" s="20">
        <f t="shared" si="3"/>
        <v>18</v>
      </c>
      <c r="C68" s="20">
        <f t="shared" si="4"/>
        <v>16</v>
      </c>
      <c r="D68" s="52">
        <f t="shared" si="5"/>
        <v>32</v>
      </c>
      <c r="E68" s="52">
        <f t="shared" si="9"/>
        <v>96</v>
      </c>
      <c r="F68" s="67">
        <f t="shared" si="12"/>
        <v>91</v>
      </c>
      <c r="G68" s="52">
        <f t="shared" si="13"/>
        <v>1164.95</v>
      </c>
      <c r="H68" s="52">
        <f t="shared" si="6"/>
        <v>3494.8500000000004</v>
      </c>
      <c r="I68" s="52">
        <f t="shared" si="7"/>
        <v>2329.9</v>
      </c>
      <c r="J68" s="69">
        <f t="shared" si="10"/>
        <v>52887.100000000013</v>
      </c>
      <c r="K68" s="70">
        <f t="shared" si="14"/>
        <v>53</v>
      </c>
      <c r="L68" s="132"/>
      <c r="M68" s="38">
        <f>Characters!$F$13+((Characters!$M$13 )*(Floor!$F68-1))</f>
        <v>5550</v>
      </c>
      <c r="N68" s="39">
        <f>Characters!$F$14+((Characters!$M$14 )*(Floor!F68-1))</f>
        <v>5550</v>
      </c>
      <c r="O68" s="39">
        <f>Characters!$F$15+((Characters!$M$15 )*(Floor!$F68-1))</f>
        <v>5550</v>
      </c>
      <c r="P68" s="39">
        <f>Characters!$F$16+((Characters!$M$16 )*(Floor!$F68-1))</f>
        <v>5550</v>
      </c>
      <c r="Q68" s="39">
        <f>Characters!$F$17+((Characters!$M$17)*(Floor!$F68-1))</f>
        <v>5550</v>
      </c>
      <c r="R68" s="39">
        <f>Characters!$F$18+((Characters!$M$18 )*(Floor!$F68-1))</f>
        <v>5550</v>
      </c>
      <c r="S68" s="33">
        <f>Characters!$F$19+((Characters!$M$19 )*(Floor!$F68-1))</f>
        <v>5550</v>
      </c>
      <c r="T68" s="38">
        <f>_xlfn.FLOOR.MATH((Characters!$J$13+Characters!$Q$13*(Floor!$F68-1))*5/2)</f>
        <v>695</v>
      </c>
      <c r="U68" s="39">
        <f>_xlfn.FLOOR.MATH((Characters!$J$14+Characters!$Q$14*(Floor!$F68-1))*5/2)</f>
        <v>695</v>
      </c>
      <c r="V68" s="39">
        <f>_xlfn.FLOOR.MATH((Characters!$J$15+Characters!$Q$15*(Floor!$F68-1))*5/2)</f>
        <v>695</v>
      </c>
      <c r="W68" s="39">
        <f>_xlfn.FLOOR.MATH((Characters!$J$16+Characters!$Q$16*(Floor!$F68-1))*5/2)</f>
        <v>695</v>
      </c>
      <c r="X68" s="39">
        <f>_xlfn.FLOOR.MATH((Characters!$J$17+Characters!$Q$17*(Floor!$F68-1))*5/2)</f>
        <v>695</v>
      </c>
      <c r="Y68" s="39">
        <f>_xlfn.FLOOR.MATH((Characters!$J$18+Characters!$Q$18*(Floor!$F68-1))*5/2)</f>
        <v>695</v>
      </c>
      <c r="Z68" s="39">
        <f>_xlfn.FLOOR.MATH((Characters!$J$19+Characters!$Q$19*(Floor!$F68-1))*5/2)</f>
        <v>695</v>
      </c>
      <c r="AA68" s="38">
        <f>_xlfn.FLOOR.MATH((Characters!$G$13+Characters!$N$13*(Floor!$F68-1))*10/2) + _xlfn.FLOOR.MATH((($AI68-1)*Characters!$P$13+Characters!$I$13)*5/2)</f>
        <v>645</v>
      </c>
      <c r="AB68" s="39">
        <f>_xlfn.FLOOR.MATH((Characters!$G$14+Characters!$N$14*(Floor!$F68-1))*10/2) + _xlfn.FLOOR.MATH((($AI68-1)*Characters!$P$14+Characters!$I$14)*5/2)</f>
        <v>645</v>
      </c>
      <c r="AC68" s="39">
        <f>_xlfn.FLOOR.MATH((Characters!$G$15+Characters!$N$15*(Floor!$F68-1))*10/2) + _xlfn.FLOOR.MATH((($AI68-1)*Characters!$P$15+Characters!$I$15)*5/2)</f>
        <v>645</v>
      </c>
      <c r="AD68" s="39">
        <f>_xlfn.FLOOR.MATH((Characters!$G$16+Characters!$N$16*(Floor!$F68-1))*10/2) + _xlfn.FLOOR.MATH((($AI68-1)*Characters!$P$16+Characters!$I$16)*5/2)</f>
        <v>645</v>
      </c>
      <c r="AE68" s="39">
        <f>_xlfn.FLOOR.MATH((Characters!$G$17+Characters!$N$17*(Floor!$F68-1))*10/2) + _xlfn.FLOOR.MATH((($AI68-1)*Characters!$P$17+Characters!$I$17)*5/2)</f>
        <v>645</v>
      </c>
      <c r="AF68" s="39">
        <f>_xlfn.FLOOR.MATH((Characters!$G$18+Characters!$N$18*(Floor!$F68-1))*10/2) + _xlfn.FLOOR.MATH((($AI68-1)*Characters!$P$18+Characters!$I$18)*5/2)</f>
        <v>645</v>
      </c>
      <c r="AG68" s="33">
        <f>_xlfn.FLOOR.MATH((Characters!$G$19+Characters!$N$19*(Floor!$F68-1))*10/2) + _xlfn.FLOOR.MATH((($AI68-1)*Characters!$P$19+Characters!$I$19)*5/2)</f>
        <v>645</v>
      </c>
      <c r="AH68" s="67"/>
      <c r="AI68" s="38">
        <v>61</v>
      </c>
      <c r="AJ68" s="71">
        <f t="shared" si="2"/>
        <v>3722.6</v>
      </c>
      <c r="AK68" s="105">
        <f t="shared" si="11"/>
        <v>77701.799999999988</v>
      </c>
      <c r="AL68" s="38">
        <f>_xlfn.FLOOR.MATH(($AI68-1)*Characters!$M$7+Characters!$F$7)+$AK$5</f>
        <v>6200</v>
      </c>
      <c r="AM68" s="39">
        <f>_xlfn.FLOOR.MATH(($AI68-1)*Characters!$M$8+Characters!$F$8)+$AK$5</f>
        <v>7450</v>
      </c>
      <c r="AN68" s="39">
        <f>_xlfn.FLOOR.MATH(($AI68-1)*Characters!$M$9+Characters!$F$9)+$AK$5</f>
        <v>5830</v>
      </c>
      <c r="AO68" s="39">
        <f>_xlfn.FLOOR.MATH(($AI68-1)*Characters!$M$10+Characters!$F$10)+$AK$5</f>
        <v>6460</v>
      </c>
      <c r="AP68" s="39">
        <f>_xlfn.FLOOR.MATH(($AI68-1)*Characters!$M$11+Characters!$F$11)+$AK$5</f>
        <v>5830</v>
      </c>
      <c r="AQ68" s="39">
        <f>_xlfn.FLOOR.MATH(($AI68-1)*Characters!$M$12+Characters!$F$12)+$AK$5</f>
        <v>6760</v>
      </c>
      <c r="AR68" s="38">
        <f>_xlfn.FLOOR.MATH((($AI68-1)*Characters!$Q$7+Characters!$J$7+$AK$4)*5/2)</f>
        <v>177</v>
      </c>
      <c r="AS68" s="39">
        <f>_xlfn.FLOOR.MATH((($AI68-1)*Characters!$Q$8+Characters!$J$8+$AK$4)*5/2)</f>
        <v>200</v>
      </c>
      <c r="AT68" s="39">
        <f>_xlfn.FLOOR.MATH((($AI68-1)*Characters!$Q$9+Characters!$J$9+$AK$4)*5/2)</f>
        <v>150</v>
      </c>
      <c r="AU68" s="39">
        <f>_xlfn.FLOOR.MATH((($AI68-1)*Characters!$Q$10+Characters!$J$10+$AK$4)*5/2)</f>
        <v>180</v>
      </c>
      <c r="AV68" s="39">
        <f>_xlfn.FLOOR.MATH((($AI68-1)*Characters!$Q$11+Characters!$J$11+$AK$4)*5/2)</f>
        <v>147</v>
      </c>
      <c r="AW68" s="39">
        <f>_xlfn.FLOOR.MATH((($AI68-1)*Characters!$Q$12+Characters!$J$12+$AK$4)*5/2)</f>
        <v>200</v>
      </c>
      <c r="AX68" s="38">
        <f>_xlfn.FLOOR.MATH((($AI68-1)*Characters!$N$7+Characters!$G$7+$AK$2)*10/2) + _xlfn.FLOOR.MATH((($AI68-1)*Characters!$P$7+Characters!$I$7+$AK$3)*5/2)</f>
        <v>262</v>
      </c>
      <c r="AY68" s="39">
        <f>_xlfn.FLOOR.MATH((($AI68-1)*Characters!$N$8+Characters!$G$8+$AK$2)*10/2) + _xlfn.FLOOR.MATH((($AI68-1)*Characters!$P$8+Characters!$I$8+$AK$3)*5/2)</f>
        <v>350</v>
      </c>
      <c r="AZ68" s="39">
        <f>_xlfn.FLOOR.MATH((($AI68-1)*Characters!$N$9+Characters!$G$9+$AK$2)*10/2) + _xlfn.FLOOR.MATH((($AI68-1)*Characters!$P$9+Characters!$I$9+$AK$3)*5/2)</f>
        <v>140</v>
      </c>
      <c r="BA68" s="39">
        <f>_xlfn.FLOOR.MATH((($AI68-1)*Characters!$N$10+Characters!$G$10+$AK$2)*10/2) + _xlfn.FLOOR.MATH((($AI68-1)*Characters!$P$10+Characters!$I$10+$AK$3)*5/2)</f>
        <v>407</v>
      </c>
      <c r="BB68" s="39">
        <f>_xlfn.FLOOR.MATH((($AI68-1)*Characters!$N$11+Characters!$G$11+$AK$2)*10/2) + _xlfn.FLOOR.MATH((($AI68-1)*Characters!$P$11+Characters!$I$11+$AK$3)*5/2)</f>
        <v>157</v>
      </c>
      <c r="BC68" s="33">
        <f>_xlfn.FLOOR.MATH((($AI68-1)*Characters!$N$12+Characters!$G$12+$AK$2)*10/2) + _xlfn.FLOOR.MATH((($AI68-1)*Characters!$P$12+Characters!$I$12+$AK$3)*5/2)</f>
        <v>380</v>
      </c>
    </row>
    <row r="69" spans="1:55" ht="18" customHeight="1">
      <c r="A69" s="38">
        <v>62</v>
      </c>
      <c r="B69" s="20">
        <f t="shared" si="3"/>
        <v>18</v>
      </c>
      <c r="C69" s="20">
        <f t="shared" si="4"/>
        <v>16</v>
      </c>
      <c r="D69" s="52">
        <f t="shared" si="5"/>
        <v>32</v>
      </c>
      <c r="E69" s="52">
        <f t="shared" si="9"/>
        <v>96</v>
      </c>
      <c r="F69" s="67">
        <f t="shared" si="12"/>
        <v>92</v>
      </c>
      <c r="G69" s="52">
        <f t="shared" si="13"/>
        <v>1177.7500000000002</v>
      </c>
      <c r="H69" s="52">
        <f t="shared" si="6"/>
        <v>3533.2500000000009</v>
      </c>
      <c r="I69" s="52">
        <f t="shared" si="7"/>
        <v>2355.5000000000005</v>
      </c>
      <c r="J69" s="69">
        <f t="shared" si="10"/>
        <v>55242.600000000013</v>
      </c>
      <c r="K69" s="70">
        <f t="shared" si="14"/>
        <v>54</v>
      </c>
      <c r="L69" s="132"/>
      <c r="M69" s="38">
        <f>Characters!$F$13+((Characters!$M$13 )*(Floor!$F69-1))</f>
        <v>5610</v>
      </c>
      <c r="N69" s="39">
        <f>Characters!$F$14+((Characters!$M$14 )*(Floor!F69-1))</f>
        <v>5610</v>
      </c>
      <c r="O69" s="39">
        <f>Characters!$F$15+((Characters!$M$15 )*(Floor!$F69-1))</f>
        <v>5610</v>
      </c>
      <c r="P69" s="39">
        <f>Characters!$F$16+((Characters!$M$16 )*(Floor!$F69-1))</f>
        <v>5610</v>
      </c>
      <c r="Q69" s="39">
        <f>Characters!$F$17+((Characters!$M$17)*(Floor!$F69-1))</f>
        <v>5610</v>
      </c>
      <c r="R69" s="39">
        <f>Characters!$F$18+((Characters!$M$18 )*(Floor!$F69-1))</f>
        <v>5610</v>
      </c>
      <c r="S69" s="33">
        <f>Characters!$F$19+((Characters!$M$19 )*(Floor!$F69-1))</f>
        <v>5610</v>
      </c>
      <c r="T69" s="38">
        <f>_xlfn.FLOOR.MATH((Characters!$J$13+Characters!$Q$13*(Floor!$F69-1))*5/2)</f>
        <v>702</v>
      </c>
      <c r="U69" s="39">
        <f>_xlfn.FLOOR.MATH((Characters!$J$14+Characters!$Q$14*(Floor!$F69-1))*5/2)</f>
        <v>702</v>
      </c>
      <c r="V69" s="39">
        <f>_xlfn.FLOOR.MATH((Characters!$J$15+Characters!$Q$15*(Floor!$F69-1))*5/2)</f>
        <v>702</v>
      </c>
      <c r="W69" s="39">
        <f>_xlfn.FLOOR.MATH((Characters!$J$16+Characters!$Q$16*(Floor!$F69-1))*5/2)</f>
        <v>702</v>
      </c>
      <c r="X69" s="39">
        <f>_xlfn.FLOOR.MATH((Characters!$J$17+Characters!$Q$17*(Floor!$F69-1))*5/2)</f>
        <v>702</v>
      </c>
      <c r="Y69" s="39">
        <f>_xlfn.FLOOR.MATH((Characters!$J$18+Characters!$Q$18*(Floor!$F69-1))*5/2)</f>
        <v>702</v>
      </c>
      <c r="Z69" s="39">
        <f>_xlfn.FLOOR.MATH((Characters!$J$19+Characters!$Q$19*(Floor!$F69-1))*5/2)</f>
        <v>702</v>
      </c>
      <c r="AA69" s="38">
        <f>_xlfn.FLOOR.MATH((Characters!$G$13+Characters!$N$13*(Floor!$F69-1))*10/2) + _xlfn.FLOOR.MATH((($AI69-1)*Characters!$P$13+Characters!$I$13)*5/2)</f>
        <v>652</v>
      </c>
      <c r="AB69" s="39">
        <f>_xlfn.FLOOR.MATH((Characters!$G$14+Characters!$N$14*(Floor!$F69-1))*10/2) + _xlfn.FLOOR.MATH((($AI69-1)*Characters!$P$14+Characters!$I$14)*5/2)</f>
        <v>652</v>
      </c>
      <c r="AC69" s="39">
        <f>_xlfn.FLOOR.MATH((Characters!$G$15+Characters!$N$15*(Floor!$F69-1))*10/2) + _xlfn.FLOOR.MATH((($AI69-1)*Characters!$P$15+Characters!$I$15)*5/2)</f>
        <v>652</v>
      </c>
      <c r="AD69" s="39">
        <f>_xlfn.FLOOR.MATH((Characters!$G$16+Characters!$N$16*(Floor!$F69-1))*10/2) + _xlfn.FLOOR.MATH((($AI69-1)*Characters!$P$16+Characters!$I$16)*5/2)</f>
        <v>652</v>
      </c>
      <c r="AE69" s="39">
        <f>_xlfn.FLOOR.MATH((Characters!$G$17+Characters!$N$17*(Floor!$F69-1))*10/2) + _xlfn.FLOOR.MATH((($AI69-1)*Characters!$P$17+Characters!$I$17)*5/2)</f>
        <v>652</v>
      </c>
      <c r="AF69" s="39">
        <f>_xlfn.FLOOR.MATH((Characters!$G$18+Characters!$N$18*(Floor!$F69-1))*10/2) + _xlfn.FLOOR.MATH((($AI69-1)*Characters!$P$18+Characters!$I$18)*5/2)</f>
        <v>652</v>
      </c>
      <c r="AG69" s="33">
        <f>_xlfn.FLOOR.MATH((Characters!$G$19+Characters!$N$19*(Floor!$F69-1))*10/2) + _xlfn.FLOOR.MATH((($AI69-1)*Characters!$P$19+Characters!$I$19)*5/2)</f>
        <v>652</v>
      </c>
      <c r="AH69" s="67"/>
      <c r="AI69" s="38">
        <v>62</v>
      </c>
      <c r="AJ69" s="71">
        <f t="shared" si="2"/>
        <v>3845.56</v>
      </c>
      <c r="AK69" s="105">
        <f t="shared" si="11"/>
        <v>81547.359999999986</v>
      </c>
      <c r="AL69" s="38">
        <f>_xlfn.FLOOR.MATH(($AI69-1)*Characters!$M$7+Characters!$F$7)+$AK$5</f>
        <v>6230</v>
      </c>
      <c r="AM69" s="39">
        <f>_xlfn.FLOOR.MATH(($AI69-1)*Characters!$M$8+Characters!$F$8)+$AK$5</f>
        <v>7500</v>
      </c>
      <c r="AN69" s="39">
        <f>_xlfn.FLOOR.MATH(($AI69-1)*Characters!$M$9+Characters!$F$9)+$AK$5</f>
        <v>5855</v>
      </c>
      <c r="AO69" s="39">
        <f>_xlfn.FLOOR.MATH(($AI69-1)*Characters!$M$10+Characters!$F$10)+$AK$5</f>
        <v>6495</v>
      </c>
      <c r="AP69" s="39">
        <f>_xlfn.FLOOR.MATH(($AI69-1)*Characters!$M$11+Characters!$F$11)+$AK$5</f>
        <v>5855</v>
      </c>
      <c r="AQ69" s="39">
        <f>_xlfn.FLOOR.MATH(($AI69-1)*Characters!$M$12+Characters!$F$12)+$AK$5</f>
        <v>6800</v>
      </c>
      <c r="AR69" s="38">
        <f>_xlfn.FLOOR.MATH((($AI69-1)*Characters!$Q$7+Characters!$J$7+$AK$4)*5/2)</f>
        <v>178</v>
      </c>
      <c r="AS69" s="39">
        <f>_xlfn.FLOOR.MATH((($AI69-1)*Characters!$Q$8+Characters!$J$8+$AK$4)*5/2)</f>
        <v>201</v>
      </c>
      <c r="AT69" s="39">
        <f>_xlfn.FLOOR.MATH((($AI69-1)*Characters!$Q$9+Characters!$J$9+$AK$4)*5/2)</f>
        <v>150</v>
      </c>
      <c r="AU69" s="39">
        <f>_xlfn.FLOOR.MATH((($AI69-1)*Characters!$Q$10+Characters!$J$10+$AK$4)*5/2)</f>
        <v>181</v>
      </c>
      <c r="AV69" s="39">
        <f>_xlfn.FLOOR.MATH((($AI69-1)*Characters!$Q$11+Characters!$J$11+$AK$4)*5/2)</f>
        <v>148</v>
      </c>
      <c r="AW69" s="39">
        <f>_xlfn.FLOOR.MATH((($AI69-1)*Characters!$Q$12+Characters!$J$12+$AK$4)*5/2)</f>
        <v>201</v>
      </c>
      <c r="AX69" s="38">
        <f>_xlfn.FLOOR.MATH((($AI69-1)*Characters!$N$7+Characters!$G$7+$AK$2)*10/2) + _xlfn.FLOOR.MATH((($AI69-1)*Characters!$P$7+Characters!$I$7+$AK$3)*5/2)</f>
        <v>265</v>
      </c>
      <c r="AY69" s="39">
        <f>_xlfn.FLOOR.MATH((($AI69-1)*Characters!$N$8+Characters!$G$8+$AK$2)*10/2) + _xlfn.FLOOR.MATH((($AI69-1)*Characters!$P$8+Characters!$I$8+$AK$3)*5/2)</f>
        <v>354</v>
      </c>
      <c r="AZ69" s="39">
        <f>_xlfn.FLOOR.MATH((($AI69-1)*Characters!$N$9+Characters!$G$9+$AK$2)*10/2) + _xlfn.FLOOR.MATH((($AI69-1)*Characters!$P$9+Characters!$I$9+$AK$3)*5/2)</f>
        <v>141</v>
      </c>
      <c r="BA69" s="39">
        <f>_xlfn.FLOOR.MATH((($AI69-1)*Characters!$N$10+Characters!$G$10+$AK$2)*10/2) + _xlfn.FLOOR.MATH((($AI69-1)*Characters!$P$10+Characters!$I$10+$AK$3)*5/2)</f>
        <v>412</v>
      </c>
      <c r="BB69" s="39">
        <f>_xlfn.FLOOR.MATH((($AI69-1)*Characters!$N$11+Characters!$G$11+$AK$2)*10/2) + _xlfn.FLOOR.MATH((($AI69-1)*Characters!$P$11+Characters!$I$11+$AK$3)*5/2)</f>
        <v>159</v>
      </c>
      <c r="BC69" s="33">
        <f>_xlfn.FLOOR.MATH((($AI69-1)*Characters!$N$12+Characters!$G$12+$AK$2)*10/2) + _xlfn.FLOOR.MATH((($AI69-1)*Characters!$P$12+Characters!$I$12+$AK$3)*5/2)</f>
        <v>385</v>
      </c>
    </row>
    <row r="70" spans="1:55" ht="18" customHeight="1">
      <c r="A70" s="38">
        <v>63</v>
      </c>
      <c r="B70" s="20">
        <f t="shared" si="3"/>
        <v>18</v>
      </c>
      <c r="C70" s="20">
        <f t="shared" si="4"/>
        <v>16</v>
      </c>
      <c r="D70" s="52">
        <f t="shared" si="5"/>
        <v>32</v>
      </c>
      <c r="E70" s="52">
        <f t="shared" si="9"/>
        <v>96</v>
      </c>
      <c r="F70" s="67">
        <f t="shared" si="12"/>
        <v>94</v>
      </c>
      <c r="G70" s="52">
        <f t="shared" si="13"/>
        <v>1203.3500000000001</v>
      </c>
      <c r="H70" s="52">
        <f t="shared" si="6"/>
        <v>3610.05</v>
      </c>
      <c r="I70" s="52">
        <f t="shared" si="7"/>
        <v>2406.7000000000003</v>
      </c>
      <c r="J70" s="69">
        <f t="shared" si="10"/>
        <v>57649.30000000001</v>
      </c>
      <c r="K70" s="70">
        <f t="shared" si="14"/>
        <v>55</v>
      </c>
      <c r="L70" s="132"/>
      <c r="M70" s="38">
        <f>Characters!$F$13+((Characters!$M$13 )*(Floor!$F70-1))</f>
        <v>5730</v>
      </c>
      <c r="N70" s="39">
        <f>Characters!$F$14+((Characters!$M$14 )*(Floor!F70-1))</f>
        <v>5730</v>
      </c>
      <c r="O70" s="39">
        <f>Characters!$F$15+((Characters!$M$15 )*(Floor!$F70-1))</f>
        <v>5730</v>
      </c>
      <c r="P70" s="39">
        <f>Characters!$F$16+((Characters!$M$16 )*(Floor!$F70-1))</f>
        <v>5730</v>
      </c>
      <c r="Q70" s="39">
        <f>Characters!$F$17+((Characters!$M$17)*(Floor!$F70-1))</f>
        <v>5730</v>
      </c>
      <c r="R70" s="39">
        <f>Characters!$F$18+((Characters!$M$18 )*(Floor!$F70-1))</f>
        <v>5730</v>
      </c>
      <c r="S70" s="33">
        <f>Characters!$F$19+((Characters!$M$19 )*(Floor!$F70-1))</f>
        <v>5730</v>
      </c>
      <c r="T70" s="38">
        <f>_xlfn.FLOOR.MATH((Characters!$J$13+Characters!$Q$13*(Floor!$F70-1))*5/2)</f>
        <v>717</v>
      </c>
      <c r="U70" s="39">
        <f>_xlfn.FLOOR.MATH((Characters!$J$14+Characters!$Q$14*(Floor!$F70-1))*5/2)</f>
        <v>717</v>
      </c>
      <c r="V70" s="39">
        <f>_xlfn.FLOOR.MATH((Characters!$J$15+Characters!$Q$15*(Floor!$F70-1))*5/2)</f>
        <v>717</v>
      </c>
      <c r="W70" s="39">
        <f>_xlfn.FLOOR.MATH((Characters!$J$16+Characters!$Q$16*(Floor!$F70-1))*5/2)</f>
        <v>717</v>
      </c>
      <c r="X70" s="39">
        <f>_xlfn.FLOOR.MATH((Characters!$J$17+Characters!$Q$17*(Floor!$F70-1))*5/2)</f>
        <v>717</v>
      </c>
      <c r="Y70" s="39">
        <f>_xlfn.FLOOR.MATH((Characters!$J$18+Characters!$Q$18*(Floor!$F70-1))*5/2)</f>
        <v>717</v>
      </c>
      <c r="Z70" s="39">
        <f>_xlfn.FLOOR.MATH((Characters!$J$19+Characters!$Q$19*(Floor!$F70-1))*5/2)</f>
        <v>717</v>
      </c>
      <c r="AA70" s="38">
        <f>_xlfn.FLOOR.MATH((Characters!$G$13+Characters!$N$13*(Floor!$F70-1))*10/2) + _xlfn.FLOOR.MATH((($AI70-1)*Characters!$P$13+Characters!$I$13)*5/2)</f>
        <v>665</v>
      </c>
      <c r="AB70" s="39">
        <f>_xlfn.FLOOR.MATH((Characters!$G$14+Characters!$N$14*(Floor!$F70-1))*10/2) + _xlfn.FLOOR.MATH((($AI70-1)*Characters!$P$14+Characters!$I$14)*5/2)</f>
        <v>665</v>
      </c>
      <c r="AC70" s="39">
        <f>_xlfn.FLOOR.MATH((Characters!$G$15+Characters!$N$15*(Floor!$F70-1))*10/2) + _xlfn.FLOOR.MATH((($AI70-1)*Characters!$P$15+Characters!$I$15)*5/2)</f>
        <v>665</v>
      </c>
      <c r="AD70" s="39">
        <f>_xlfn.FLOOR.MATH((Characters!$G$16+Characters!$N$16*(Floor!$F70-1))*10/2) + _xlfn.FLOOR.MATH((($AI70-1)*Characters!$P$16+Characters!$I$16)*5/2)</f>
        <v>665</v>
      </c>
      <c r="AE70" s="39">
        <f>_xlfn.FLOOR.MATH((Characters!$G$17+Characters!$N$17*(Floor!$F70-1))*10/2) + _xlfn.FLOOR.MATH((($AI70-1)*Characters!$P$17+Characters!$I$17)*5/2)</f>
        <v>665</v>
      </c>
      <c r="AF70" s="39">
        <f>_xlfn.FLOOR.MATH((Characters!$G$18+Characters!$N$18*(Floor!$F70-1))*10/2) + _xlfn.FLOOR.MATH((($AI70-1)*Characters!$P$18+Characters!$I$18)*5/2)</f>
        <v>665</v>
      </c>
      <c r="AG70" s="33">
        <f>_xlfn.FLOOR.MATH((Characters!$G$19+Characters!$N$19*(Floor!$F70-1))*10/2) + _xlfn.FLOOR.MATH((($AI70-1)*Characters!$P$19+Characters!$I$19)*5/2)</f>
        <v>665</v>
      </c>
      <c r="AH70" s="67"/>
      <c r="AI70" s="38">
        <v>63</v>
      </c>
      <c r="AJ70" s="71">
        <f t="shared" si="2"/>
        <v>3970.52</v>
      </c>
      <c r="AK70" s="105">
        <f t="shared" si="11"/>
        <v>85517.87999999999</v>
      </c>
      <c r="AL70" s="38">
        <f>_xlfn.FLOOR.MATH(($AI70-1)*Characters!$M$7+Characters!$F$7)+$AK$5</f>
        <v>6260</v>
      </c>
      <c r="AM70" s="39">
        <f>_xlfn.FLOOR.MATH(($AI70-1)*Characters!$M$8+Characters!$F$8)+$AK$5</f>
        <v>7550</v>
      </c>
      <c r="AN70" s="39">
        <f>_xlfn.FLOOR.MATH(($AI70-1)*Characters!$M$9+Characters!$F$9)+$AK$5</f>
        <v>5880</v>
      </c>
      <c r="AO70" s="39">
        <f>_xlfn.FLOOR.MATH(($AI70-1)*Characters!$M$10+Characters!$F$10)+$AK$5</f>
        <v>6530</v>
      </c>
      <c r="AP70" s="39">
        <f>_xlfn.FLOOR.MATH(($AI70-1)*Characters!$M$11+Characters!$F$11)+$AK$5</f>
        <v>5880</v>
      </c>
      <c r="AQ70" s="39">
        <f>_xlfn.FLOOR.MATH(($AI70-1)*Characters!$M$12+Characters!$F$12)+$AK$5</f>
        <v>6840</v>
      </c>
      <c r="AR70" s="38">
        <f>_xlfn.FLOOR.MATH((($AI70-1)*Characters!$Q$7+Characters!$J$7+$AK$4)*5/2)</f>
        <v>180</v>
      </c>
      <c r="AS70" s="39">
        <f>_xlfn.FLOOR.MATH((($AI70-1)*Characters!$Q$8+Characters!$J$8+$AK$4)*5/2)</f>
        <v>203</v>
      </c>
      <c r="AT70" s="39">
        <f>_xlfn.FLOOR.MATH((($AI70-1)*Characters!$Q$9+Characters!$J$9+$AK$4)*5/2)</f>
        <v>151</v>
      </c>
      <c r="AU70" s="39">
        <f>_xlfn.FLOOR.MATH((($AI70-1)*Characters!$Q$10+Characters!$J$10+$AK$4)*5/2)</f>
        <v>182</v>
      </c>
      <c r="AV70" s="39">
        <f>_xlfn.FLOOR.MATH((($AI70-1)*Characters!$Q$11+Characters!$J$11+$AK$4)*5/2)</f>
        <v>149</v>
      </c>
      <c r="AW70" s="39">
        <f>_xlfn.FLOOR.MATH((($AI70-1)*Characters!$Q$12+Characters!$J$12+$AK$4)*5/2)</f>
        <v>203</v>
      </c>
      <c r="AX70" s="38">
        <f>_xlfn.FLOOR.MATH((($AI70-1)*Characters!$N$7+Characters!$G$7+$AK$2)*10/2) + _xlfn.FLOOR.MATH((($AI70-1)*Characters!$P$7+Characters!$I$7+$AK$3)*5/2)</f>
        <v>270</v>
      </c>
      <c r="AY70" s="39">
        <f>_xlfn.FLOOR.MATH((($AI70-1)*Characters!$N$8+Characters!$G$8+$AK$2)*10/2) + _xlfn.FLOOR.MATH((($AI70-1)*Characters!$P$8+Characters!$I$8+$AK$3)*5/2)</f>
        <v>359</v>
      </c>
      <c r="AZ70" s="39">
        <f>_xlfn.FLOOR.MATH((($AI70-1)*Characters!$N$9+Characters!$G$9+$AK$2)*10/2) + _xlfn.FLOOR.MATH((($AI70-1)*Characters!$P$9+Characters!$I$9+$AK$3)*5/2)</f>
        <v>143</v>
      </c>
      <c r="BA70" s="39">
        <f>_xlfn.FLOOR.MATH((($AI70-1)*Characters!$N$10+Characters!$G$10+$AK$2)*10/2) + _xlfn.FLOOR.MATH((($AI70-1)*Characters!$P$10+Characters!$I$10+$AK$3)*5/2)</f>
        <v>418</v>
      </c>
      <c r="BB70" s="39">
        <f>_xlfn.FLOOR.MATH((($AI70-1)*Characters!$N$11+Characters!$G$11+$AK$2)*10/2) + _xlfn.FLOOR.MATH((($AI70-1)*Characters!$P$11+Characters!$I$11+$AK$3)*5/2)</f>
        <v>161</v>
      </c>
      <c r="BC70" s="33">
        <f>_xlfn.FLOOR.MATH((($AI70-1)*Characters!$N$12+Characters!$G$12+$AK$2)*10/2) + _xlfn.FLOOR.MATH((($AI70-1)*Characters!$P$12+Characters!$I$12+$AK$3)*5/2)</f>
        <v>390</v>
      </c>
    </row>
    <row r="71" spans="1:55" ht="18" customHeight="1">
      <c r="A71" s="38">
        <v>64</v>
      </c>
      <c r="B71" s="20">
        <f t="shared" si="3"/>
        <v>18</v>
      </c>
      <c r="C71" s="20">
        <f t="shared" si="4"/>
        <v>16</v>
      </c>
      <c r="D71" s="52">
        <f t="shared" si="5"/>
        <v>32</v>
      </c>
      <c r="E71" s="52">
        <f t="shared" si="9"/>
        <v>96</v>
      </c>
      <c r="F71" s="67">
        <f t="shared" si="12"/>
        <v>95</v>
      </c>
      <c r="G71" s="52">
        <f t="shared" si="13"/>
        <v>1216.1500000000001</v>
      </c>
      <c r="H71" s="52">
        <f t="shared" si="6"/>
        <v>3648.4500000000003</v>
      </c>
      <c r="I71" s="52">
        <f t="shared" si="7"/>
        <v>2432.3000000000002</v>
      </c>
      <c r="J71" s="69">
        <f t="shared" si="10"/>
        <v>60081.600000000013</v>
      </c>
      <c r="K71" s="70">
        <f t="shared" si="14"/>
        <v>55</v>
      </c>
      <c r="L71" s="132"/>
      <c r="M71" s="38">
        <f>Characters!$F$13+((Characters!$M$13 )*(Floor!$F71-1))</f>
        <v>5790</v>
      </c>
      <c r="N71" s="39">
        <f>Characters!$F$14+((Characters!$M$14 )*(Floor!F71-1))</f>
        <v>5790</v>
      </c>
      <c r="O71" s="39">
        <f>Characters!$F$15+((Characters!$M$15 )*(Floor!$F71-1))</f>
        <v>5790</v>
      </c>
      <c r="P71" s="39">
        <f>Characters!$F$16+((Characters!$M$16 )*(Floor!$F71-1))</f>
        <v>5790</v>
      </c>
      <c r="Q71" s="39">
        <f>Characters!$F$17+((Characters!$M$17)*(Floor!$F71-1))</f>
        <v>5790</v>
      </c>
      <c r="R71" s="39">
        <f>Characters!$F$18+((Characters!$M$18 )*(Floor!$F71-1))</f>
        <v>5790</v>
      </c>
      <c r="S71" s="33">
        <f>Characters!$F$19+((Characters!$M$19 )*(Floor!$F71-1))</f>
        <v>5790</v>
      </c>
      <c r="T71" s="38">
        <f>_xlfn.FLOOR.MATH((Characters!$J$13+Characters!$Q$13*(Floor!$F71-1))*5/2)</f>
        <v>725</v>
      </c>
      <c r="U71" s="39">
        <f>_xlfn.FLOOR.MATH((Characters!$J$14+Characters!$Q$14*(Floor!$F71-1))*5/2)</f>
        <v>725</v>
      </c>
      <c r="V71" s="39">
        <f>_xlfn.FLOOR.MATH((Characters!$J$15+Characters!$Q$15*(Floor!$F71-1))*5/2)</f>
        <v>725</v>
      </c>
      <c r="W71" s="39">
        <f>_xlfn.FLOOR.MATH((Characters!$J$16+Characters!$Q$16*(Floor!$F71-1))*5/2)</f>
        <v>725</v>
      </c>
      <c r="X71" s="39">
        <f>_xlfn.FLOOR.MATH((Characters!$J$17+Characters!$Q$17*(Floor!$F71-1))*5/2)</f>
        <v>725</v>
      </c>
      <c r="Y71" s="39">
        <f>_xlfn.FLOOR.MATH((Characters!$J$18+Characters!$Q$18*(Floor!$F71-1))*5/2)</f>
        <v>725</v>
      </c>
      <c r="Z71" s="39">
        <f>_xlfn.FLOOR.MATH((Characters!$J$19+Characters!$Q$19*(Floor!$F71-1))*5/2)</f>
        <v>725</v>
      </c>
      <c r="AA71" s="38">
        <f>_xlfn.FLOOR.MATH((Characters!$G$13+Characters!$N$13*(Floor!$F71-1))*10/2) + _xlfn.FLOOR.MATH((($AI71-1)*Characters!$P$13+Characters!$I$13)*5/2)</f>
        <v>672</v>
      </c>
      <c r="AB71" s="39">
        <f>_xlfn.FLOOR.MATH((Characters!$G$14+Characters!$N$14*(Floor!$F71-1))*10/2) + _xlfn.FLOOR.MATH((($AI71-1)*Characters!$P$14+Characters!$I$14)*5/2)</f>
        <v>672</v>
      </c>
      <c r="AC71" s="39">
        <f>_xlfn.FLOOR.MATH((Characters!$G$15+Characters!$N$15*(Floor!$F71-1))*10/2) + _xlfn.FLOOR.MATH((($AI71-1)*Characters!$P$15+Characters!$I$15)*5/2)</f>
        <v>672</v>
      </c>
      <c r="AD71" s="39">
        <f>_xlfn.FLOOR.MATH((Characters!$G$16+Characters!$N$16*(Floor!$F71-1))*10/2) + _xlfn.FLOOR.MATH((($AI71-1)*Characters!$P$16+Characters!$I$16)*5/2)</f>
        <v>672</v>
      </c>
      <c r="AE71" s="39">
        <f>_xlfn.FLOOR.MATH((Characters!$G$17+Characters!$N$17*(Floor!$F71-1))*10/2) + _xlfn.FLOOR.MATH((($AI71-1)*Characters!$P$17+Characters!$I$17)*5/2)</f>
        <v>672</v>
      </c>
      <c r="AF71" s="39">
        <f>_xlfn.FLOOR.MATH((Characters!$G$18+Characters!$N$18*(Floor!$F71-1))*10/2) + _xlfn.FLOOR.MATH((($AI71-1)*Characters!$P$18+Characters!$I$18)*5/2)</f>
        <v>672</v>
      </c>
      <c r="AG71" s="33">
        <f>_xlfn.FLOOR.MATH((Characters!$G$19+Characters!$N$19*(Floor!$F71-1))*10/2) + _xlfn.FLOOR.MATH((($AI71-1)*Characters!$P$19+Characters!$I$19)*5/2)</f>
        <v>672</v>
      </c>
      <c r="AH71" s="67"/>
      <c r="AI71" s="38">
        <v>64</v>
      </c>
      <c r="AJ71" s="71">
        <f t="shared" si="2"/>
        <v>4097.4800000000005</v>
      </c>
      <c r="AK71" s="105">
        <f t="shared" si="11"/>
        <v>89615.359999999986</v>
      </c>
      <c r="AL71" s="38">
        <f>_xlfn.FLOOR.MATH(($AI71-1)*Characters!$M$7+Characters!$F$7)+$AK$5</f>
        <v>6290</v>
      </c>
      <c r="AM71" s="39">
        <f>_xlfn.FLOOR.MATH(($AI71-1)*Characters!$M$8+Characters!$F$8)+$AK$5</f>
        <v>7600</v>
      </c>
      <c r="AN71" s="39">
        <f>_xlfn.FLOOR.MATH(($AI71-1)*Characters!$M$9+Characters!$F$9)+$AK$5</f>
        <v>5905</v>
      </c>
      <c r="AO71" s="39">
        <f>_xlfn.FLOOR.MATH(($AI71-1)*Characters!$M$10+Characters!$F$10)+$AK$5</f>
        <v>6565</v>
      </c>
      <c r="AP71" s="39">
        <f>_xlfn.FLOOR.MATH(($AI71-1)*Characters!$M$11+Characters!$F$11)+$AK$5</f>
        <v>5905</v>
      </c>
      <c r="AQ71" s="39">
        <f>_xlfn.FLOOR.MATH(($AI71-1)*Characters!$M$12+Characters!$F$12)+$AK$5</f>
        <v>6880</v>
      </c>
      <c r="AR71" s="38">
        <f>_xlfn.FLOOR.MATH((($AI71-1)*Characters!$Q$7+Characters!$J$7+$AK$4)*5/2)</f>
        <v>181</v>
      </c>
      <c r="AS71" s="39">
        <f>_xlfn.FLOOR.MATH((($AI71-1)*Characters!$Q$8+Characters!$J$8+$AK$4)*5/2)</f>
        <v>204</v>
      </c>
      <c r="AT71" s="39">
        <f>_xlfn.FLOOR.MATH((($AI71-1)*Characters!$Q$9+Characters!$J$9+$AK$4)*5/2)</f>
        <v>152</v>
      </c>
      <c r="AU71" s="39">
        <f>_xlfn.FLOOR.MATH((($AI71-1)*Characters!$Q$10+Characters!$J$10+$AK$4)*5/2)</f>
        <v>183</v>
      </c>
      <c r="AV71" s="39">
        <f>_xlfn.FLOOR.MATH((($AI71-1)*Characters!$Q$11+Characters!$J$11+$AK$4)*5/2)</f>
        <v>149</v>
      </c>
      <c r="AW71" s="39">
        <f>_xlfn.FLOOR.MATH((($AI71-1)*Characters!$Q$12+Characters!$J$12+$AK$4)*5/2)</f>
        <v>204</v>
      </c>
      <c r="AX71" s="38">
        <f>_xlfn.FLOOR.MATH((($AI71-1)*Characters!$N$7+Characters!$G$7+$AK$2)*10/2) + _xlfn.FLOOR.MATH((($AI71-1)*Characters!$P$7+Characters!$I$7+$AK$3)*5/2)</f>
        <v>273</v>
      </c>
      <c r="AY71" s="39">
        <f>_xlfn.FLOOR.MATH((($AI71-1)*Characters!$N$8+Characters!$G$8+$AK$2)*10/2) + _xlfn.FLOOR.MATH((($AI71-1)*Characters!$P$8+Characters!$I$8+$AK$3)*5/2)</f>
        <v>363</v>
      </c>
      <c r="AZ71" s="39">
        <f>_xlfn.FLOOR.MATH((($AI71-1)*Characters!$N$9+Characters!$G$9+$AK$2)*10/2) + _xlfn.FLOOR.MATH((($AI71-1)*Characters!$P$9+Characters!$I$9+$AK$3)*5/2)</f>
        <v>145</v>
      </c>
      <c r="BA71" s="39">
        <f>_xlfn.FLOOR.MATH((($AI71-1)*Characters!$N$10+Characters!$G$10+$AK$2)*10/2) + _xlfn.FLOOR.MATH((($AI71-1)*Characters!$P$10+Characters!$I$10+$AK$3)*5/2)</f>
        <v>423</v>
      </c>
      <c r="BB71" s="39">
        <f>_xlfn.FLOOR.MATH((($AI71-1)*Characters!$N$11+Characters!$G$11+$AK$2)*10/2) + _xlfn.FLOOR.MATH((($AI71-1)*Characters!$P$11+Characters!$I$11+$AK$3)*5/2)</f>
        <v>163</v>
      </c>
      <c r="BC71" s="33">
        <f>_xlfn.FLOOR.MATH((($AI71-1)*Characters!$N$12+Characters!$G$12+$AK$2)*10/2) + _xlfn.FLOOR.MATH((($AI71-1)*Characters!$P$12+Characters!$I$12+$AK$3)*5/2)</f>
        <v>395</v>
      </c>
    </row>
    <row r="72" spans="1:55" ht="18" customHeight="1">
      <c r="A72" s="38">
        <v>65</v>
      </c>
      <c r="B72" s="20">
        <f t="shared" si="3"/>
        <v>19</v>
      </c>
      <c r="C72" s="20">
        <f t="shared" si="4"/>
        <v>17</v>
      </c>
      <c r="D72" s="52">
        <f t="shared" si="5"/>
        <v>34</v>
      </c>
      <c r="E72" s="52">
        <f t="shared" si="9"/>
        <v>102</v>
      </c>
      <c r="F72" s="67">
        <f t="shared" ref="F72:F107" si="15">_xlfn.FLOOR.MATH((A72-1)*$D$3)+1</f>
        <v>97</v>
      </c>
      <c r="G72" s="52">
        <f t="shared" ref="G72:G103" si="16">D72*(F72 * $C$3) + $B$3</f>
        <v>1319.3500000000001</v>
      </c>
      <c r="H72" s="52">
        <f t="shared" si="6"/>
        <v>3958.0500000000006</v>
      </c>
      <c r="I72" s="52">
        <f t="shared" si="7"/>
        <v>2638.7000000000003</v>
      </c>
      <c r="J72" s="69">
        <f t="shared" si="10"/>
        <v>62720.30000000001</v>
      </c>
      <c r="K72" s="70">
        <f t="shared" si="14"/>
        <v>56</v>
      </c>
      <c r="L72" s="132"/>
      <c r="M72" s="38">
        <f>Characters!$F$13+((Characters!$M$13 )*(Floor!$F72-1))</f>
        <v>5910</v>
      </c>
      <c r="N72" s="39">
        <f>Characters!$F$14+((Characters!$M$14 )*(Floor!F72-1))</f>
        <v>5910</v>
      </c>
      <c r="O72" s="39">
        <f>Characters!$F$15+((Characters!$M$15 )*(Floor!$F72-1))</f>
        <v>5910</v>
      </c>
      <c r="P72" s="39">
        <f>Characters!$F$16+((Characters!$M$16 )*(Floor!$F72-1))</f>
        <v>5910</v>
      </c>
      <c r="Q72" s="39">
        <f>Characters!$F$17+((Characters!$M$17)*(Floor!$F72-1))</f>
        <v>5910</v>
      </c>
      <c r="R72" s="39">
        <f>Characters!$F$18+((Characters!$M$18 )*(Floor!$F72-1))</f>
        <v>5910</v>
      </c>
      <c r="S72" s="33">
        <f>Characters!$F$19+((Characters!$M$19 )*(Floor!$F72-1))</f>
        <v>5910</v>
      </c>
      <c r="T72" s="38">
        <f>_xlfn.FLOOR.MATH((Characters!$J$13+Characters!$Q$13*(Floor!$F72-1))*5/2)</f>
        <v>740</v>
      </c>
      <c r="U72" s="39">
        <f>_xlfn.FLOOR.MATH((Characters!$J$14+Characters!$Q$14*(Floor!$F72-1))*5/2)</f>
        <v>740</v>
      </c>
      <c r="V72" s="39">
        <f>_xlfn.FLOOR.MATH((Characters!$J$15+Characters!$Q$15*(Floor!$F72-1))*5/2)</f>
        <v>740</v>
      </c>
      <c r="W72" s="39">
        <f>_xlfn.FLOOR.MATH((Characters!$J$16+Characters!$Q$16*(Floor!$F72-1))*5/2)</f>
        <v>740</v>
      </c>
      <c r="X72" s="39">
        <f>_xlfn.FLOOR.MATH((Characters!$J$17+Characters!$Q$17*(Floor!$F72-1))*5/2)</f>
        <v>740</v>
      </c>
      <c r="Y72" s="39">
        <f>_xlfn.FLOOR.MATH((Characters!$J$18+Characters!$Q$18*(Floor!$F72-1))*5/2)</f>
        <v>740</v>
      </c>
      <c r="Z72" s="39">
        <f>_xlfn.FLOOR.MATH((Characters!$J$19+Characters!$Q$19*(Floor!$F72-1))*5/2)</f>
        <v>740</v>
      </c>
      <c r="AA72" s="38">
        <f>_xlfn.FLOOR.MATH((Characters!$G$13+Characters!$N$13*(Floor!$F72-1))*10/2) + _xlfn.FLOOR.MATH((($AI72-1)*Characters!$P$13+Characters!$I$13)*5/2)</f>
        <v>686</v>
      </c>
      <c r="AB72" s="39">
        <f>_xlfn.FLOOR.MATH((Characters!$G$14+Characters!$N$14*(Floor!$F72-1))*10/2) + _xlfn.FLOOR.MATH((($AI72-1)*Characters!$P$14+Characters!$I$14)*5/2)</f>
        <v>686</v>
      </c>
      <c r="AC72" s="39">
        <f>_xlfn.FLOOR.MATH((Characters!$G$15+Characters!$N$15*(Floor!$F72-1))*10/2) + _xlfn.FLOOR.MATH((($AI72-1)*Characters!$P$15+Characters!$I$15)*5/2)</f>
        <v>686</v>
      </c>
      <c r="AD72" s="39">
        <f>_xlfn.FLOOR.MATH((Characters!$G$16+Characters!$N$16*(Floor!$F72-1))*10/2) + _xlfn.FLOOR.MATH((($AI72-1)*Characters!$P$16+Characters!$I$16)*5/2)</f>
        <v>686</v>
      </c>
      <c r="AE72" s="39">
        <f>_xlfn.FLOOR.MATH((Characters!$G$17+Characters!$N$17*(Floor!$F72-1))*10/2) + _xlfn.FLOOR.MATH((($AI72-1)*Characters!$P$17+Characters!$I$17)*5/2)</f>
        <v>686</v>
      </c>
      <c r="AF72" s="39">
        <f>_xlfn.FLOOR.MATH((Characters!$G$18+Characters!$N$18*(Floor!$F72-1))*10/2) + _xlfn.FLOOR.MATH((($AI72-1)*Characters!$P$18+Characters!$I$18)*5/2)</f>
        <v>686</v>
      </c>
      <c r="AG72" s="33">
        <f>_xlfn.FLOOR.MATH((Characters!$G$19+Characters!$N$19*(Floor!$F72-1))*10/2) + _xlfn.FLOOR.MATH((($AI72-1)*Characters!$P$19+Characters!$I$19)*5/2)</f>
        <v>686</v>
      </c>
      <c r="AH72" s="67"/>
      <c r="AI72" s="38">
        <v>65</v>
      </c>
      <c r="AJ72" s="71">
        <f t="shared" ref="AJ72:AJ107" si="17">AI72*AI72+-0.04*AI72+4.04</f>
        <v>4226.4399999999996</v>
      </c>
      <c r="AK72" s="105">
        <f t="shared" si="11"/>
        <v>93841.799999999988</v>
      </c>
      <c r="AL72" s="38">
        <f>_xlfn.FLOOR.MATH(($AI72-1)*Characters!$M$7+Characters!$F$7)+$AK$5</f>
        <v>6320</v>
      </c>
      <c r="AM72" s="39">
        <f>_xlfn.FLOOR.MATH(($AI72-1)*Characters!$M$8+Characters!$F$8)+$AK$5</f>
        <v>7650</v>
      </c>
      <c r="AN72" s="39">
        <f>_xlfn.FLOOR.MATH(($AI72-1)*Characters!$M$9+Characters!$F$9)+$AK$5</f>
        <v>5930</v>
      </c>
      <c r="AO72" s="39">
        <f>_xlfn.FLOOR.MATH(($AI72-1)*Characters!$M$10+Characters!$F$10)+$AK$5</f>
        <v>6600</v>
      </c>
      <c r="AP72" s="39">
        <f>_xlfn.FLOOR.MATH(($AI72-1)*Characters!$M$11+Characters!$F$11)+$AK$5</f>
        <v>5930</v>
      </c>
      <c r="AQ72" s="39">
        <f>_xlfn.FLOOR.MATH(($AI72-1)*Characters!$M$12+Characters!$F$12)+$AK$5</f>
        <v>6920</v>
      </c>
      <c r="AR72" s="38">
        <f>_xlfn.FLOOR.MATH((($AI72-1)*Characters!$Q$7+Characters!$J$7+$AK$4)*5/2)</f>
        <v>182</v>
      </c>
      <c r="AS72" s="39">
        <f>_xlfn.FLOOR.MATH((($AI72-1)*Characters!$Q$8+Characters!$J$8+$AK$4)*5/2)</f>
        <v>206</v>
      </c>
      <c r="AT72" s="39">
        <f>_xlfn.FLOOR.MATH((($AI72-1)*Characters!$Q$9+Characters!$J$9+$AK$4)*5/2)</f>
        <v>153</v>
      </c>
      <c r="AU72" s="39">
        <f>_xlfn.FLOOR.MATH((($AI72-1)*Characters!$Q$10+Characters!$J$10+$AK$4)*5/2)</f>
        <v>185</v>
      </c>
      <c r="AV72" s="39">
        <f>_xlfn.FLOOR.MATH((($AI72-1)*Characters!$Q$11+Characters!$J$11+$AK$4)*5/2)</f>
        <v>150</v>
      </c>
      <c r="AW72" s="39">
        <f>_xlfn.FLOOR.MATH((($AI72-1)*Characters!$Q$12+Characters!$J$12+$AK$4)*5/2)</f>
        <v>206</v>
      </c>
      <c r="AX72" s="38">
        <f>_xlfn.FLOOR.MATH((($AI72-1)*Characters!$N$7+Characters!$G$7+$AK$2)*10/2) + _xlfn.FLOOR.MATH((($AI72-1)*Characters!$P$7+Characters!$I$7+$AK$3)*5/2)</f>
        <v>277</v>
      </c>
      <c r="AY72" s="39">
        <f>_xlfn.FLOOR.MATH((($AI72-1)*Characters!$N$8+Characters!$G$8+$AK$2)*10/2) + _xlfn.FLOOR.MATH((($AI72-1)*Characters!$P$8+Characters!$I$8+$AK$3)*5/2)</f>
        <v>368</v>
      </c>
      <c r="AZ72" s="39">
        <f>_xlfn.FLOOR.MATH((($AI72-1)*Characters!$N$9+Characters!$G$9+$AK$2)*10/2) + _xlfn.FLOOR.MATH((($AI72-1)*Characters!$P$9+Characters!$I$9+$AK$3)*5/2)</f>
        <v>147</v>
      </c>
      <c r="BA72" s="39">
        <f>_xlfn.FLOOR.MATH((($AI72-1)*Characters!$N$10+Characters!$G$10+$AK$2)*10/2) + _xlfn.FLOOR.MATH((($AI72-1)*Characters!$P$10+Characters!$I$10+$AK$3)*5/2)</f>
        <v>429</v>
      </c>
      <c r="BB72" s="39">
        <f>_xlfn.FLOOR.MATH((($AI72-1)*Characters!$N$11+Characters!$G$11+$AK$2)*10/2) + _xlfn.FLOOR.MATH((($AI72-1)*Characters!$P$11+Characters!$I$11+$AK$3)*5/2)</f>
        <v>165</v>
      </c>
      <c r="BC72" s="33">
        <f>_xlfn.FLOOR.MATH((($AI72-1)*Characters!$N$12+Characters!$G$12+$AK$2)*10/2) + _xlfn.FLOOR.MATH((($AI72-1)*Characters!$P$12+Characters!$I$12+$AK$3)*5/2)</f>
        <v>400</v>
      </c>
    </row>
    <row r="73" spans="1:55" ht="18" customHeight="1">
      <c r="A73" s="38">
        <v>66</v>
      </c>
      <c r="B73" s="20">
        <f t="shared" ref="B73:B107" si="18">_xlfn.FLOOR.MATH(A73 / 5) + 6</f>
        <v>19</v>
      </c>
      <c r="C73" s="20">
        <f t="shared" ref="C73:C107" si="19">B73-2</f>
        <v>17</v>
      </c>
      <c r="D73" s="52">
        <f t="shared" ref="D73:D107" si="20">C73*2</f>
        <v>34</v>
      </c>
      <c r="E73" s="52">
        <f t="shared" si="9"/>
        <v>102</v>
      </c>
      <c r="F73" s="67">
        <f t="shared" si="15"/>
        <v>98</v>
      </c>
      <c r="G73" s="52">
        <f t="shared" si="16"/>
        <v>1332.9500000000003</v>
      </c>
      <c r="H73" s="52">
        <f t="shared" ref="H73:H107" si="21">G73/D73*E73</f>
        <v>3998.8500000000008</v>
      </c>
      <c r="I73" s="52">
        <f t="shared" ref="I73:I107" si="22">(H73+G73)/2</f>
        <v>2665.9000000000005</v>
      </c>
      <c r="J73" s="69">
        <f t="shared" si="10"/>
        <v>65386.200000000012</v>
      </c>
      <c r="K73" s="70">
        <f t="shared" ref="K73:K104" si="23">MATCH(J73,$AK$8:$AK$107,1)</f>
        <v>57</v>
      </c>
      <c r="L73" s="132"/>
      <c r="M73" s="38">
        <f>Characters!$F$13+((Characters!$M$13 )*(Floor!$F73-1))</f>
        <v>5970</v>
      </c>
      <c r="N73" s="39">
        <f>Characters!$F$14+((Characters!$M$14 )*(Floor!F73-1))</f>
        <v>5970</v>
      </c>
      <c r="O73" s="39">
        <f>Characters!$F$15+((Characters!$M$15 )*(Floor!$F73-1))</f>
        <v>5970</v>
      </c>
      <c r="P73" s="39">
        <f>Characters!$F$16+((Characters!$M$16 )*(Floor!$F73-1))</f>
        <v>5970</v>
      </c>
      <c r="Q73" s="39">
        <f>Characters!$F$17+((Characters!$M$17)*(Floor!$F73-1))</f>
        <v>5970</v>
      </c>
      <c r="R73" s="39">
        <f>Characters!$F$18+((Characters!$M$18 )*(Floor!$F73-1))</f>
        <v>5970</v>
      </c>
      <c r="S73" s="33">
        <f>Characters!$F$19+((Characters!$M$19 )*(Floor!$F73-1))</f>
        <v>5970</v>
      </c>
      <c r="T73" s="38">
        <f>_xlfn.FLOOR.MATH((Characters!$J$13+Characters!$Q$13*(Floor!$F73-1))*5/2)</f>
        <v>747</v>
      </c>
      <c r="U73" s="39">
        <f>_xlfn.FLOOR.MATH((Characters!$J$14+Characters!$Q$14*(Floor!$F73-1))*5/2)</f>
        <v>747</v>
      </c>
      <c r="V73" s="39">
        <f>_xlfn.FLOOR.MATH((Characters!$J$15+Characters!$Q$15*(Floor!$F73-1))*5/2)</f>
        <v>747</v>
      </c>
      <c r="W73" s="39">
        <f>_xlfn.FLOOR.MATH((Characters!$J$16+Characters!$Q$16*(Floor!$F73-1))*5/2)</f>
        <v>747</v>
      </c>
      <c r="X73" s="39">
        <f>_xlfn.FLOOR.MATH((Characters!$J$17+Characters!$Q$17*(Floor!$F73-1))*5/2)</f>
        <v>747</v>
      </c>
      <c r="Y73" s="39">
        <f>_xlfn.FLOOR.MATH((Characters!$J$18+Characters!$Q$18*(Floor!$F73-1))*5/2)</f>
        <v>747</v>
      </c>
      <c r="Z73" s="39">
        <f>_xlfn.FLOOR.MATH((Characters!$J$19+Characters!$Q$19*(Floor!$F73-1))*5/2)</f>
        <v>747</v>
      </c>
      <c r="AA73" s="38">
        <f>_xlfn.FLOOR.MATH((Characters!$G$13+Characters!$N$13*(Floor!$F73-1))*10/2) + _xlfn.FLOOR.MATH((($AI73-1)*Characters!$P$13+Characters!$I$13)*5/2)</f>
        <v>693</v>
      </c>
      <c r="AB73" s="39">
        <f>_xlfn.FLOOR.MATH((Characters!$G$14+Characters!$N$14*(Floor!$F73-1))*10/2) + _xlfn.FLOOR.MATH((($AI73-1)*Characters!$P$14+Characters!$I$14)*5/2)</f>
        <v>693</v>
      </c>
      <c r="AC73" s="39">
        <f>_xlfn.FLOOR.MATH((Characters!$G$15+Characters!$N$15*(Floor!$F73-1))*10/2) + _xlfn.FLOOR.MATH((($AI73-1)*Characters!$P$15+Characters!$I$15)*5/2)</f>
        <v>693</v>
      </c>
      <c r="AD73" s="39">
        <f>_xlfn.FLOOR.MATH((Characters!$G$16+Characters!$N$16*(Floor!$F73-1))*10/2) + _xlfn.FLOOR.MATH((($AI73-1)*Characters!$P$16+Characters!$I$16)*5/2)</f>
        <v>693</v>
      </c>
      <c r="AE73" s="39">
        <f>_xlfn.FLOOR.MATH((Characters!$G$17+Characters!$N$17*(Floor!$F73-1))*10/2) + _xlfn.FLOOR.MATH((($AI73-1)*Characters!$P$17+Characters!$I$17)*5/2)</f>
        <v>693</v>
      </c>
      <c r="AF73" s="39">
        <f>_xlfn.FLOOR.MATH((Characters!$G$18+Characters!$N$18*(Floor!$F73-1))*10/2) + _xlfn.FLOOR.MATH((($AI73-1)*Characters!$P$18+Characters!$I$18)*5/2)</f>
        <v>693</v>
      </c>
      <c r="AG73" s="33">
        <f>_xlfn.FLOOR.MATH((Characters!$G$19+Characters!$N$19*(Floor!$F73-1))*10/2) + _xlfn.FLOOR.MATH((($AI73-1)*Characters!$P$19+Characters!$I$19)*5/2)</f>
        <v>693</v>
      </c>
      <c r="AH73" s="67"/>
      <c r="AI73" s="38">
        <v>66</v>
      </c>
      <c r="AJ73" s="71">
        <f t="shared" si="17"/>
        <v>4357.3999999999996</v>
      </c>
      <c r="AK73" s="105">
        <f t="shared" si="11"/>
        <v>98199.199999999983</v>
      </c>
      <c r="AL73" s="38">
        <f>_xlfn.FLOOR.MATH(($AI73-1)*Characters!$M$7+Characters!$F$7)+$AK$5</f>
        <v>6350</v>
      </c>
      <c r="AM73" s="39">
        <f>_xlfn.FLOOR.MATH(($AI73-1)*Characters!$M$8+Characters!$F$8)+$AK$5</f>
        <v>7700</v>
      </c>
      <c r="AN73" s="39">
        <f>_xlfn.FLOOR.MATH(($AI73-1)*Characters!$M$9+Characters!$F$9)+$AK$5</f>
        <v>5955</v>
      </c>
      <c r="AO73" s="39">
        <f>_xlfn.FLOOR.MATH(($AI73-1)*Characters!$M$10+Characters!$F$10)+$AK$5</f>
        <v>6635</v>
      </c>
      <c r="AP73" s="39">
        <f>_xlfn.FLOOR.MATH(($AI73-1)*Characters!$M$11+Characters!$F$11)+$AK$5</f>
        <v>5955</v>
      </c>
      <c r="AQ73" s="39">
        <f>_xlfn.FLOOR.MATH(($AI73-1)*Characters!$M$12+Characters!$F$12)+$AK$5</f>
        <v>6960</v>
      </c>
      <c r="AR73" s="38">
        <f>_xlfn.FLOOR.MATH((($AI73-1)*Characters!$Q$7+Characters!$J$7+$AK$4)*5/2)</f>
        <v>183</v>
      </c>
      <c r="AS73" s="39">
        <f>_xlfn.FLOOR.MATH((($AI73-1)*Characters!$Q$8+Characters!$J$8+$AK$4)*5/2)</f>
        <v>207</v>
      </c>
      <c r="AT73" s="39">
        <f>_xlfn.FLOOR.MATH((($AI73-1)*Characters!$Q$9+Characters!$J$9+$AK$4)*5/2)</f>
        <v>153</v>
      </c>
      <c r="AU73" s="39">
        <f>_xlfn.FLOOR.MATH((($AI73-1)*Characters!$Q$10+Characters!$J$10+$AK$4)*5/2)</f>
        <v>186</v>
      </c>
      <c r="AV73" s="39">
        <f>_xlfn.FLOOR.MATH((($AI73-1)*Characters!$Q$11+Characters!$J$11+$AK$4)*5/2)</f>
        <v>151</v>
      </c>
      <c r="AW73" s="39">
        <f>_xlfn.FLOOR.MATH((($AI73-1)*Characters!$Q$12+Characters!$J$12+$AK$4)*5/2)</f>
        <v>207</v>
      </c>
      <c r="AX73" s="38">
        <f>_xlfn.FLOOR.MATH((($AI73-1)*Characters!$N$7+Characters!$G$7+$AK$2)*10/2) + _xlfn.FLOOR.MATH((($AI73-1)*Characters!$P$7+Characters!$I$7+$AK$3)*5/2)</f>
        <v>280</v>
      </c>
      <c r="AY73" s="39">
        <f>_xlfn.FLOOR.MATH((($AI73-1)*Characters!$N$8+Characters!$G$8+$AK$2)*10/2) + _xlfn.FLOOR.MATH((($AI73-1)*Characters!$P$8+Characters!$I$8+$AK$3)*5/2)</f>
        <v>372</v>
      </c>
      <c r="AZ73" s="39">
        <f>_xlfn.FLOOR.MATH((($AI73-1)*Characters!$N$9+Characters!$G$9+$AK$2)*10/2) + _xlfn.FLOOR.MATH((($AI73-1)*Characters!$P$9+Characters!$I$9+$AK$3)*5/2)</f>
        <v>148</v>
      </c>
      <c r="BA73" s="39">
        <f>_xlfn.FLOOR.MATH((($AI73-1)*Characters!$N$10+Characters!$G$10+$AK$2)*10/2) + _xlfn.FLOOR.MATH((($AI73-1)*Characters!$P$10+Characters!$I$10+$AK$3)*5/2)</f>
        <v>434</v>
      </c>
      <c r="BB73" s="39">
        <f>_xlfn.FLOOR.MATH((($AI73-1)*Characters!$N$11+Characters!$G$11+$AK$2)*10/2) + _xlfn.FLOOR.MATH((($AI73-1)*Characters!$P$11+Characters!$I$11+$AK$3)*5/2)</f>
        <v>167</v>
      </c>
      <c r="BC73" s="33">
        <f>_xlfn.FLOOR.MATH((($AI73-1)*Characters!$N$12+Characters!$G$12+$AK$2)*10/2) + _xlfn.FLOOR.MATH((($AI73-1)*Characters!$P$12+Characters!$I$12+$AK$3)*5/2)</f>
        <v>405</v>
      </c>
    </row>
    <row r="74" spans="1:55" ht="18" customHeight="1">
      <c r="A74" s="38">
        <v>67</v>
      </c>
      <c r="B74" s="20">
        <f t="shared" si="18"/>
        <v>19</v>
      </c>
      <c r="C74" s="20">
        <f t="shared" si="19"/>
        <v>17</v>
      </c>
      <c r="D74" s="52">
        <f t="shared" si="20"/>
        <v>34</v>
      </c>
      <c r="E74" s="52">
        <f t="shared" ref="E74:E107" si="24">C74*6</f>
        <v>102</v>
      </c>
      <c r="F74" s="67">
        <f t="shared" si="15"/>
        <v>100</v>
      </c>
      <c r="G74" s="52">
        <f t="shared" si="16"/>
        <v>1360.15</v>
      </c>
      <c r="H74" s="52">
        <f t="shared" si="21"/>
        <v>4080.4500000000003</v>
      </c>
      <c r="I74" s="52">
        <f t="shared" si="22"/>
        <v>2720.3</v>
      </c>
      <c r="J74" s="69">
        <f t="shared" ref="J74:J107" si="25">J73+I74</f>
        <v>68106.500000000015</v>
      </c>
      <c r="K74" s="70">
        <f t="shared" si="23"/>
        <v>58</v>
      </c>
      <c r="L74" s="132"/>
      <c r="M74" s="38">
        <f>Characters!$F$13+((Characters!$M$13 )*(Floor!$F74-1))</f>
        <v>6090</v>
      </c>
      <c r="N74" s="39">
        <f>Characters!$F$14+((Characters!$M$14 )*(Floor!F74-1))</f>
        <v>6090</v>
      </c>
      <c r="O74" s="39">
        <f>Characters!$F$15+((Characters!$M$15 )*(Floor!$F74-1))</f>
        <v>6090</v>
      </c>
      <c r="P74" s="39">
        <f>Characters!$F$16+((Characters!$M$16 )*(Floor!$F74-1))</f>
        <v>6090</v>
      </c>
      <c r="Q74" s="39">
        <f>Characters!$F$17+((Characters!$M$17)*(Floor!$F74-1))</f>
        <v>6090</v>
      </c>
      <c r="R74" s="39">
        <f>Characters!$F$18+((Characters!$M$18 )*(Floor!$F74-1))</f>
        <v>6090</v>
      </c>
      <c r="S74" s="33">
        <f>Characters!$F$19+((Characters!$M$19 )*(Floor!$F74-1))</f>
        <v>6090</v>
      </c>
      <c r="T74" s="38">
        <f>_xlfn.FLOOR.MATH((Characters!$J$13+Characters!$Q$13*(Floor!$F74-1))*5/2)</f>
        <v>762</v>
      </c>
      <c r="U74" s="39">
        <f>_xlfn.FLOOR.MATH((Characters!$J$14+Characters!$Q$14*(Floor!$F74-1))*5/2)</f>
        <v>762</v>
      </c>
      <c r="V74" s="39">
        <f>_xlfn.FLOOR.MATH((Characters!$J$15+Characters!$Q$15*(Floor!$F74-1))*5/2)</f>
        <v>762</v>
      </c>
      <c r="W74" s="39">
        <f>_xlfn.FLOOR.MATH((Characters!$J$16+Characters!$Q$16*(Floor!$F74-1))*5/2)</f>
        <v>762</v>
      </c>
      <c r="X74" s="39">
        <f>_xlfn.FLOOR.MATH((Characters!$J$17+Characters!$Q$17*(Floor!$F74-1))*5/2)</f>
        <v>762</v>
      </c>
      <c r="Y74" s="39">
        <f>_xlfn.FLOOR.MATH((Characters!$J$18+Characters!$Q$18*(Floor!$F74-1))*5/2)</f>
        <v>762</v>
      </c>
      <c r="Z74" s="39">
        <f>_xlfn.FLOOR.MATH((Characters!$J$19+Characters!$Q$19*(Floor!$F74-1))*5/2)</f>
        <v>762</v>
      </c>
      <c r="AA74" s="38">
        <f>_xlfn.FLOOR.MATH((Characters!$G$13+Characters!$N$13*(Floor!$F74-1))*10/2) + _xlfn.FLOOR.MATH((($AI74-1)*Characters!$P$13+Characters!$I$13)*5/2)</f>
        <v>706</v>
      </c>
      <c r="AB74" s="39">
        <f>_xlfn.FLOOR.MATH((Characters!$G$14+Characters!$N$14*(Floor!$F74-1))*10/2) + _xlfn.FLOOR.MATH((($AI74-1)*Characters!$P$14+Characters!$I$14)*5/2)</f>
        <v>706</v>
      </c>
      <c r="AC74" s="39">
        <f>_xlfn.FLOOR.MATH((Characters!$G$15+Characters!$N$15*(Floor!$F74-1))*10/2) + _xlfn.FLOOR.MATH((($AI74-1)*Characters!$P$15+Characters!$I$15)*5/2)</f>
        <v>706</v>
      </c>
      <c r="AD74" s="39">
        <f>_xlfn.FLOOR.MATH((Characters!$G$16+Characters!$N$16*(Floor!$F74-1))*10/2) + _xlfn.FLOOR.MATH((($AI74-1)*Characters!$P$16+Characters!$I$16)*5/2)</f>
        <v>706</v>
      </c>
      <c r="AE74" s="39">
        <f>_xlfn.FLOOR.MATH((Characters!$G$17+Characters!$N$17*(Floor!$F74-1))*10/2) + _xlfn.FLOOR.MATH((($AI74-1)*Characters!$P$17+Characters!$I$17)*5/2)</f>
        <v>706</v>
      </c>
      <c r="AF74" s="39">
        <f>_xlfn.FLOOR.MATH((Characters!$G$18+Characters!$N$18*(Floor!$F74-1))*10/2) + _xlfn.FLOOR.MATH((($AI74-1)*Characters!$P$18+Characters!$I$18)*5/2)</f>
        <v>706</v>
      </c>
      <c r="AG74" s="33">
        <f>_xlfn.FLOOR.MATH((Characters!$G$19+Characters!$N$19*(Floor!$F74-1))*10/2) + _xlfn.FLOOR.MATH((($AI74-1)*Characters!$P$19+Characters!$I$19)*5/2)</f>
        <v>706</v>
      </c>
      <c r="AH74" s="67"/>
      <c r="AI74" s="38">
        <v>67</v>
      </c>
      <c r="AJ74" s="71">
        <f t="shared" si="17"/>
        <v>4490.3599999999997</v>
      </c>
      <c r="AK74" s="105">
        <f t="shared" ref="AK74:AK107" si="26">AK73+AJ74</f>
        <v>102689.55999999998</v>
      </c>
      <c r="AL74" s="38">
        <f>_xlfn.FLOOR.MATH(($AI74-1)*Characters!$M$7+Characters!$F$7)+$AK$5</f>
        <v>6380</v>
      </c>
      <c r="AM74" s="39">
        <f>_xlfn.FLOOR.MATH(($AI74-1)*Characters!$M$8+Characters!$F$8)+$AK$5</f>
        <v>7750</v>
      </c>
      <c r="AN74" s="39">
        <f>_xlfn.FLOOR.MATH(($AI74-1)*Characters!$M$9+Characters!$F$9)+$AK$5</f>
        <v>5980</v>
      </c>
      <c r="AO74" s="39">
        <f>_xlfn.FLOOR.MATH(($AI74-1)*Characters!$M$10+Characters!$F$10)+$AK$5</f>
        <v>6670</v>
      </c>
      <c r="AP74" s="39">
        <f>_xlfn.FLOOR.MATH(($AI74-1)*Characters!$M$11+Characters!$F$11)+$AK$5</f>
        <v>5980</v>
      </c>
      <c r="AQ74" s="39">
        <f>_xlfn.FLOOR.MATH(($AI74-1)*Characters!$M$12+Characters!$F$12)+$AK$5</f>
        <v>7000</v>
      </c>
      <c r="AR74" s="38">
        <f>_xlfn.FLOOR.MATH((($AI74-1)*Characters!$Q$7+Characters!$J$7+$AK$4)*5/2)</f>
        <v>185</v>
      </c>
      <c r="AS74" s="39">
        <f>_xlfn.FLOOR.MATH((($AI74-1)*Characters!$Q$8+Characters!$J$8+$AK$4)*5/2)</f>
        <v>209</v>
      </c>
      <c r="AT74" s="39">
        <f>_xlfn.FLOOR.MATH((($AI74-1)*Characters!$Q$9+Characters!$J$9+$AK$4)*5/2)</f>
        <v>154</v>
      </c>
      <c r="AU74" s="39">
        <f>_xlfn.FLOOR.MATH((($AI74-1)*Characters!$Q$10+Characters!$J$10+$AK$4)*5/2)</f>
        <v>187</v>
      </c>
      <c r="AV74" s="39">
        <f>_xlfn.FLOOR.MATH((($AI74-1)*Characters!$Q$11+Characters!$J$11+$AK$4)*5/2)</f>
        <v>152</v>
      </c>
      <c r="AW74" s="39">
        <f>_xlfn.FLOOR.MATH((($AI74-1)*Characters!$Q$12+Characters!$J$12+$AK$4)*5/2)</f>
        <v>209</v>
      </c>
      <c r="AX74" s="38">
        <f>_xlfn.FLOOR.MATH((($AI74-1)*Characters!$N$7+Characters!$G$7+$AK$2)*10/2) + _xlfn.FLOOR.MATH((($AI74-1)*Characters!$P$7+Characters!$I$7+$AK$3)*5/2)</f>
        <v>285</v>
      </c>
      <c r="AY74" s="39">
        <f>_xlfn.FLOOR.MATH((($AI74-1)*Characters!$N$8+Characters!$G$8+$AK$2)*10/2) + _xlfn.FLOOR.MATH((($AI74-1)*Characters!$P$8+Characters!$I$8+$AK$3)*5/2)</f>
        <v>377</v>
      </c>
      <c r="AZ74" s="39">
        <f>_xlfn.FLOOR.MATH((($AI74-1)*Characters!$N$9+Characters!$G$9+$AK$2)*10/2) + _xlfn.FLOOR.MATH((($AI74-1)*Characters!$P$9+Characters!$I$9+$AK$3)*5/2)</f>
        <v>150</v>
      </c>
      <c r="BA74" s="39">
        <f>_xlfn.FLOOR.MATH((($AI74-1)*Characters!$N$10+Characters!$G$10+$AK$2)*10/2) + _xlfn.FLOOR.MATH((($AI74-1)*Characters!$P$10+Characters!$I$10+$AK$3)*5/2)</f>
        <v>440</v>
      </c>
      <c r="BB74" s="39">
        <f>_xlfn.FLOOR.MATH((($AI74-1)*Characters!$N$11+Characters!$G$11+$AK$2)*10/2) + _xlfn.FLOOR.MATH((($AI74-1)*Characters!$P$11+Characters!$I$11+$AK$3)*5/2)</f>
        <v>169</v>
      </c>
      <c r="BC74" s="33">
        <f>_xlfn.FLOOR.MATH((($AI74-1)*Characters!$N$12+Characters!$G$12+$AK$2)*10/2) + _xlfn.FLOOR.MATH((($AI74-1)*Characters!$P$12+Characters!$I$12+$AK$3)*5/2)</f>
        <v>410</v>
      </c>
    </row>
    <row r="75" spans="1:55" ht="18" customHeight="1">
      <c r="A75" s="38">
        <v>68</v>
      </c>
      <c r="B75" s="20">
        <f t="shared" si="18"/>
        <v>19</v>
      </c>
      <c r="C75" s="20">
        <f t="shared" si="19"/>
        <v>17</v>
      </c>
      <c r="D75" s="52">
        <f t="shared" si="20"/>
        <v>34</v>
      </c>
      <c r="E75" s="52">
        <f t="shared" si="24"/>
        <v>102</v>
      </c>
      <c r="F75" s="67">
        <f t="shared" si="15"/>
        <v>101</v>
      </c>
      <c r="G75" s="52">
        <f t="shared" si="16"/>
        <v>1373.7500000000002</v>
      </c>
      <c r="H75" s="52">
        <f t="shared" si="21"/>
        <v>4121.2500000000009</v>
      </c>
      <c r="I75" s="52">
        <f t="shared" si="22"/>
        <v>2747.5000000000005</v>
      </c>
      <c r="J75" s="69">
        <f t="shared" si="25"/>
        <v>70854.000000000015</v>
      </c>
      <c r="K75" s="70">
        <f t="shared" si="23"/>
        <v>59</v>
      </c>
      <c r="L75" s="132"/>
      <c r="M75" s="38">
        <f>Characters!$F$13+((Characters!$M$13 )*(Floor!$F75-1))</f>
        <v>6150</v>
      </c>
      <c r="N75" s="39">
        <f>Characters!$F$14+((Characters!$M$14 )*(Floor!F75-1))</f>
        <v>6150</v>
      </c>
      <c r="O75" s="39">
        <f>Characters!$F$15+((Characters!$M$15 )*(Floor!$F75-1))</f>
        <v>6150</v>
      </c>
      <c r="P75" s="39">
        <f>Characters!$F$16+((Characters!$M$16 )*(Floor!$F75-1))</f>
        <v>6150</v>
      </c>
      <c r="Q75" s="39">
        <f>Characters!$F$17+((Characters!$M$17)*(Floor!$F75-1))</f>
        <v>6150</v>
      </c>
      <c r="R75" s="39">
        <f>Characters!$F$18+((Characters!$M$18 )*(Floor!$F75-1))</f>
        <v>6150</v>
      </c>
      <c r="S75" s="33">
        <f>Characters!$F$19+((Characters!$M$19 )*(Floor!$F75-1))</f>
        <v>6150</v>
      </c>
      <c r="T75" s="38">
        <f>_xlfn.FLOOR.MATH((Characters!$J$13+Characters!$Q$13*(Floor!$F75-1))*5/2)</f>
        <v>770</v>
      </c>
      <c r="U75" s="39">
        <f>_xlfn.FLOOR.MATH((Characters!$J$14+Characters!$Q$14*(Floor!$F75-1))*5/2)</f>
        <v>770</v>
      </c>
      <c r="V75" s="39">
        <f>_xlfn.FLOOR.MATH((Characters!$J$15+Characters!$Q$15*(Floor!$F75-1))*5/2)</f>
        <v>770</v>
      </c>
      <c r="W75" s="39">
        <f>_xlfn.FLOOR.MATH((Characters!$J$16+Characters!$Q$16*(Floor!$F75-1))*5/2)</f>
        <v>770</v>
      </c>
      <c r="X75" s="39">
        <f>_xlfn.FLOOR.MATH((Characters!$J$17+Characters!$Q$17*(Floor!$F75-1))*5/2)</f>
        <v>770</v>
      </c>
      <c r="Y75" s="39">
        <f>_xlfn.FLOOR.MATH((Characters!$J$18+Characters!$Q$18*(Floor!$F75-1))*5/2)</f>
        <v>770</v>
      </c>
      <c r="Z75" s="39">
        <f>_xlfn.FLOOR.MATH((Characters!$J$19+Characters!$Q$19*(Floor!$F75-1))*5/2)</f>
        <v>770</v>
      </c>
      <c r="AA75" s="38">
        <f>_xlfn.FLOOR.MATH((Characters!$G$13+Characters!$N$13*(Floor!$F75-1))*10/2) + _xlfn.FLOOR.MATH((($AI75-1)*Characters!$P$13+Characters!$I$13)*5/2)</f>
        <v>713</v>
      </c>
      <c r="AB75" s="39">
        <f>_xlfn.FLOOR.MATH((Characters!$G$14+Characters!$N$14*(Floor!$F75-1))*10/2) + _xlfn.FLOOR.MATH((($AI75-1)*Characters!$P$14+Characters!$I$14)*5/2)</f>
        <v>713</v>
      </c>
      <c r="AC75" s="39">
        <f>_xlfn.FLOOR.MATH((Characters!$G$15+Characters!$N$15*(Floor!$F75-1))*10/2) + _xlfn.FLOOR.MATH((($AI75-1)*Characters!$P$15+Characters!$I$15)*5/2)</f>
        <v>713</v>
      </c>
      <c r="AD75" s="39">
        <f>_xlfn.FLOOR.MATH((Characters!$G$16+Characters!$N$16*(Floor!$F75-1))*10/2) + _xlfn.FLOOR.MATH((($AI75-1)*Characters!$P$16+Characters!$I$16)*5/2)</f>
        <v>713</v>
      </c>
      <c r="AE75" s="39">
        <f>_xlfn.FLOOR.MATH((Characters!$G$17+Characters!$N$17*(Floor!$F75-1))*10/2) + _xlfn.FLOOR.MATH((($AI75-1)*Characters!$P$17+Characters!$I$17)*5/2)</f>
        <v>713</v>
      </c>
      <c r="AF75" s="39">
        <f>_xlfn.FLOOR.MATH((Characters!$G$18+Characters!$N$18*(Floor!$F75-1))*10/2) + _xlfn.FLOOR.MATH((($AI75-1)*Characters!$P$18+Characters!$I$18)*5/2)</f>
        <v>713</v>
      </c>
      <c r="AG75" s="33">
        <f>_xlfn.FLOOR.MATH((Characters!$G$19+Characters!$N$19*(Floor!$F75-1))*10/2) + _xlfn.FLOOR.MATH((($AI75-1)*Characters!$P$19+Characters!$I$19)*5/2)</f>
        <v>713</v>
      </c>
      <c r="AH75" s="67"/>
      <c r="AI75" s="38">
        <v>68</v>
      </c>
      <c r="AJ75" s="71">
        <f t="shared" si="17"/>
        <v>4625.32</v>
      </c>
      <c r="AK75" s="105">
        <f t="shared" si="26"/>
        <v>107314.87999999998</v>
      </c>
      <c r="AL75" s="38">
        <f>_xlfn.FLOOR.MATH(($AI75-1)*Characters!$M$7+Characters!$F$7)+$AK$5</f>
        <v>6410</v>
      </c>
      <c r="AM75" s="39">
        <f>_xlfn.FLOOR.MATH(($AI75-1)*Characters!$M$8+Characters!$F$8)+$AK$5</f>
        <v>7800</v>
      </c>
      <c r="AN75" s="39">
        <f>_xlfn.FLOOR.MATH(($AI75-1)*Characters!$M$9+Characters!$F$9)+$AK$5</f>
        <v>6005</v>
      </c>
      <c r="AO75" s="39">
        <f>_xlfn.FLOOR.MATH(($AI75-1)*Characters!$M$10+Characters!$F$10)+$AK$5</f>
        <v>6705</v>
      </c>
      <c r="AP75" s="39">
        <f>_xlfn.FLOOR.MATH(($AI75-1)*Characters!$M$11+Characters!$F$11)+$AK$5</f>
        <v>6005</v>
      </c>
      <c r="AQ75" s="39">
        <f>_xlfn.FLOOR.MATH(($AI75-1)*Characters!$M$12+Characters!$F$12)+$AK$5</f>
        <v>7040</v>
      </c>
      <c r="AR75" s="38">
        <f>_xlfn.FLOOR.MATH((($AI75-1)*Characters!$Q$7+Characters!$J$7+$AK$4)*5/2)</f>
        <v>186</v>
      </c>
      <c r="AS75" s="39">
        <f>_xlfn.FLOOR.MATH((($AI75-1)*Characters!$Q$8+Characters!$J$8+$AK$4)*5/2)</f>
        <v>210</v>
      </c>
      <c r="AT75" s="39">
        <f>_xlfn.FLOOR.MATH((($AI75-1)*Characters!$Q$9+Characters!$J$9+$AK$4)*5/2)</f>
        <v>155</v>
      </c>
      <c r="AU75" s="39">
        <f>_xlfn.FLOOR.MATH((($AI75-1)*Characters!$Q$10+Characters!$J$10+$AK$4)*5/2)</f>
        <v>188</v>
      </c>
      <c r="AV75" s="39">
        <f>_xlfn.FLOOR.MATH((($AI75-1)*Characters!$Q$11+Characters!$J$11+$AK$4)*5/2)</f>
        <v>152</v>
      </c>
      <c r="AW75" s="39">
        <f>_xlfn.FLOOR.MATH((($AI75-1)*Characters!$Q$12+Characters!$J$12+$AK$4)*5/2)</f>
        <v>210</v>
      </c>
      <c r="AX75" s="38">
        <f>_xlfn.FLOOR.MATH((($AI75-1)*Characters!$N$7+Characters!$G$7+$AK$2)*10/2) + _xlfn.FLOOR.MATH((($AI75-1)*Characters!$P$7+Characters!$I$7+$AK$3)*5/2)</f>
        <v>288</v>
      </c>
      <c r="AY75" s="39">
        <f>_xlfn.FLOOR.MATH((($AI75-1)*Characters!$N$8+Characters!$G$8+$AK$2)*10/2) + _xlfn.FLOOR.MATH((($AI75-1)*Characters!$P$8+Characters!$I$8+$AK$3)*5/2)</f>
        <v>381</v>
      </c>
      <c r="AZ75" s="39">
        <f>_xlfn.FLOOR.MATH((($AI75-1)*Characters!$N$9+Characters!$G$9+$AK$2)*10/2) + _xlfn.FLOOR.MATH((($AI75-1)*Characters!$P$9+Characters!$I$9+$AK$3)*5/2)</f>
        <v>152</v>
      </c>
      <c r="BA75" s="39">
        <f>_xlfn.FLOOR.MATH((($AI75-1)*Characters!$N$10+Characters!$G$10+$AK$2)*10/2) + _xlfn.FLOOR.MATH((($AI75-1)*Characters!$P$10+Characters!$I$10+$AK$3)*5/2)</f>
        <v>445</v>
      </c>
      <c r="BB75" s="39">
        <f>_xlfn.FLOOR.MATH((($AI75-1)*Characters!$N$11+Characters!$G$11+$AK$2)*10/2) + _xlfn.FLOOR.MATH((($AI75-1)*Characters!$P$11+Characters!$I$11+$AK$3)*5/2)</f>
        <v>171</v>
      </c>
      <c r="BC75" s="33">
        <f>_xlfn.FLOOR.MATH((($AI75-1)*Characters!$N$12+Characters!$G$12+$AK$2)*10/2) + _xlfn.FLOOR.MATH((($AI75-1)*Characters!$P$12+Characters!$I$12+$AK$3)*5/2)</f>
        <v>415</v>
      </c>
    </row>
    <row r="76" spans="1:55" ht="18" customHeight="1">
      <c r="A76" s="38">
        <v>69</v>
      </c>
      <c r="B76" s="20">
        <f t="shared" si="18"/>
        <v>19</v>
      </c>
      <c r="C76" s="20">
        <f t="shared" si="19"/>
        <v>17</v>
      </c>
      <c r="D76" s="52">
        <f t="shared" si="20"/>
        <v>34</v>
      </c>
      <c r="E76" s="52">
        <f t="shared" si="24"/>
        <v>102</v>
      </c>
      <c r="F76" s="67">
        <f t="shared" si="15"/>
        <v>103</v>
      </c>
      <c r="G76" s="52">
        <f t="shared" si="16"/>
        <v>1400.9500000000003</v>
      </c>
      <c r="H76" s="52">
        <f t="shared" si="21"/>
        <v>4202.8500000000004</v>
      </c>
      <c r="I76" s="52">
        <f t="shared" si="22"/>
        <v>2801.9000000000005</v>
      </c>
      <c r="J76" s="69">
        <f t="shared" si="25"/>
        <v>73655.900000000009</v>
      </c>
      <c r="K76" s="70">
        <f t="shared" si="23"/>
        <v>59</v>
      </c>
      <c r="L76" s="132"/>
      <c r="M76" s="38">
        <f>Characters!$F$13+((Characters!$M$13 )*(Floor!$F76-1))</f>
        <v>6270</v>
      </c>
      <c r="N76" s="39">
        <f>Characters!$F$14+((Characters!$M$14 )*(Floor!F76-1))</f>
        <v>6270</v>
      </c>
      <c r="O76" s="39">
        <f>Characters!$F$15+((Characters!$M$15 )*(Floor!$F76-1))</f>
        <v>6270</v>
      </c>
      <c r="P76" s="39">
        <f>Characters!$F$16+((Characters!$M$16 )*(Floor!$F76-1))</f>
        <v>6270</v>
      </c>
      <c r="Q76" s="39">
        <f>Characters!$F$17+((Characters!$M$17)*(Floor!$F76-1))</f>
        <v>6270</v>
      </c>
      <c r="R76" s="39">
        <f>Characters!$F$18+((Characters!$M$18 )*(Floor!$F76-1))</f>
        <v>6270</v>
      </c>
      <c r="S76" s="33">
        <f>Characters!$F$19+((Characters!$M$19 )*(Floor!$F76-1))</f>
        <v>6270</v>
      </c>
      <c r="T76" s="38">
        <f>_xlfn.FLOOR.MATH((Characters!$J$13+Characters!$Q$13*(Floor!$F76-1))*5/2)</f>
        <v>785</v>
      </c>
      <c r="U76" s="39">
        <f>_xlfn.FLOOR.MATH((Characters!$J$14+Characters!$Q$14*(Floor!$F76-1))*5/2)</f>
        <v>785</v>
      </c>
      <c r="V76" s="39">
        <f>_xlfn.FLOOR.MATH((Characters!$J$15+Characters!$Q$15*(Floor!$F76-1))*5/2)</f>
        <v>785</v>
      </c>
      <c r="W76" s="39">
        <f>_xlfn.FLOOR.MATH((Characters!$J$16+Characters!$Q$16*(Floor!$F76-1))*5/2)</f>
        <v>785</v>
      </c>
      <c r="X76" s="39">
        <f>_xlfn.FLOOR.MATH((Characters!$J$17+Characters!$Q$17*(Floor!$F76-1))*5/2)</f>
        <v>785</v>
      </c>
      <c r="Y76" s="39">
        <f>_xlfn.FLOOR.MATH((Characters!$J$18+Characters!$Q$18*(Floor!$F76-1))*5/2)</f>
        <v>785</v>
      </c>
      <c r="Z76" s="39">
        <f>_xlfn.FLOOR.MATH((Characters!$J$19+Characters!$Q$19*(Floor!$F76-1))*5/2)</f>
        <v>785</v>
      </c>
      <c r="AA76" s="38">
        <f>_xlfn.FLOOR.MATH((Characters!$G$13+Characters!$N$13*(Floor!$F76-1))*10/2) + _xlfn.FLOOR.MATH((($AI76-1)*Characters!$P$13+Characters!$I$13)*5/2)</f>
        <v>727</v>
      </c>
      <c r="AB76" s="39">
        <f>_xlfn.FLOOR.MATH((Characters!$G$14+Characters!$N$14*(Floor!$F76-1))*10/2) + _xlfn.FLOOR.MATH((($AI76-1)*Characters!$P$14+Characters!$I$14)*5/2)</f>
        <v>727</v>
      </c>
      <c r="AC76" s="39">
        <f>_xlfn.FLOOR.MATH((Characters!$G$15+Characters!$N$15*(Floor!$F76-1))*10/2) + _xlfn.FLOOR.MATH((($AI76-1)*Characters!$P$15+Characters!$I$15)*5/2)</f>
        <v>727</v>
      </c>
      <c r="AD76" s="39">
        <f>_xlfn.FLOOR.MATH((Characters!$G$16+Characters!$N$16*(Floor!$F76-1))*10/2) + _xlfn.FLOOR.MATH((($AI76-1)*Characters!$P$16+Characters!$I$16)*5/2)</f>
        <v>727</v>
      </c>
      <c r="AE76" s="39">
        <f>_xlfn.FLOOR.MATH((Characters!$G$17+Characters!$N$17*(Floor!$F76-1))*10/2) + _xlfn.FLOOR.MATH((($AI76-1)*Characters!$P$17+Characters!$I$17)*5/2)</f>
        <v>727</v>
      </c>
      <c r="AF76" s="39">
        <f>_xlfn.FLOOR.MATH((Characters!$G$18+Characters!$N$18*(Floor!$F76-1))*10/2) + _xlfn.FLOOR.MATH((($AI76-1)*Characters!$P$18+Characters!$I$18)*5/2)</f>
        <v>727</v>
      </c>
      <c r="AG76" s="33">
        <f>_xlfn.FLOOR.MATH((Characters!$G$19+Characters!$N$19*(Floor!$F76-1))*10/2) + _xlfn.FLOOR.MATH((($AI76-1)*Characters!$P$19+Characters!$I$19)*5/2)</f>
        <v>727</v>
      </c>
      <c r="AH76" s="67"/>
      <c r="AI76" s="38">
        <v>69</v>
      </c>
      <c r="AJ76" s="71">
        <f t="shared" si="17"/>
        <v>4762.28</v>
      </c>
      <c r="AK76" s="105">
        <f t="shared" si="26"/>
        <v>112077.15999999997</v>
      </c>
      <c r="AL76" s="38">
        <f>_xlfn.FLOOR.MATH(($AI76-1)*Characters!$M$7+Characters!$F$7)+$AK$5</f>
        <v>6440</v>
      </c>
      <c r="AM76" s="39">
        <f>_xlfn.FLOOR.MATH(($AI76-1)*Characters!$M$8+Characters!$F$8)+$AK$5</f>
        <v>7850</v>
      </c>
      <c r="AN76" s="39">
        <f>_xlfn.FLOOR.MATH(($AI76-1)*Characters!$M$9+Characters!$F$9)+$AK$5</f>
        <v>6030</v>
      </c>
      <c r="AO76" s="39">
        <f>_xlfn.FLOOR.MATH(($AI76-1)*Characters!$M$10+Characters!$F$10)+$AK$5</f>
        <v>6740</v>
      </c>
      <c r="AP76" s="39">
        <f>_xlfn.FLOOR.MATH(($AI76-1)*Characters!$M$11+Characters!$F$11)+$AK$5</f>
        <v>6030</v>
      </c>
      <c r="AQ76" s="39">
        <f>_xlfn.FLOOR.MATH(($AI76-1)*Characters!$M$12+Characters!$F$12)+$AK$5</f>
        <v>7080</v>
      </c>
      <c r="AR76" s="38">
        <f>_xlfn.FLOOR.MATH((($AI76-1)*Characters!$Q$7+Characters!$J$7+$AK$4)*5/2)</f>
        <v>187</v>
      </c>
      <c r="AS76" s="39">
        <f>_xlfn.FLOOR.MATH((($AI76-1)*Characters!$Q$8+Characters!$J$8+$AK$4)*5/2)</f>
        <v>212</v>
      </c>
      <c r="AT76" s="39">
        <f>_xlfn.FLOOR.MATH((($AI76-1)*Characters!$Q$9+Characters!$J$9+$AK$4)*5/2)</f>
        <v>156</v>
      </c>
      <c r="AU76" s="39">
        <f>_xlfn.FLOOR.MATH((($AI76-1)*Characters!$Q$10+Characters!$J$10+$AK$4)*5/2)</f>
        <v>190</v>
      </c>
      <c r="AV76" s="39">
        <f>_xlfn.FLOOR.MATH((($AI76-1)*Characters!$Q$11+Characters!$J$11+$AK$4)*5/2)</f>
        <v>153</v>
      </c>
      <c r="AW76" s="39">
        <f>_xlfn.FLOOR.MATH((($AI76-1)*Characters!$Q$12+Characters!$J$12+$AK$4)*5/2)</f>
        <v>212</v>
      </c>
      <c r="AX76" s="38">
        <f>_xlfn.FLOOR.MATH((($AI76-1)*Characters!$N$7+Characters!$G$7+$AK$2)*10/2) + _xlfn.FLOOR.MATH((($AI76-1)*Characters!$P$7+Characters!$I$7+$AK$3)*5/2)</f>
        <v>292</v>
      </c>
      <c r="AY76" s="39">
        <f>_xlfn.FLOOR.MATH((($AI76-1)*Characters!$N$8+Characters!$G$8+$AK$2)*10/2) + _xlfn.FLOOR.MATH((($AI76-1)*Characters!$P$8+Characters!$I$8+$AK$3)*5/2)</f>
        <v>386</v>
      </c>
      <c r="AZ76" s="39">
        <f>_xlfn.FLOOR.MATH((($AI76-1)*Characters!$N$9+Characters!$G$9+$AK$2)*10/2) + _xlfn.FLOOR.MATH((($AI76-1)*Characters!$P$9+Characters!$I$9+$AK$3)*5/2)</f>
        <v>154</v>
      </c>
      <c r="BA76" s="39">
        <f>_xlfn.FLOOR.MATH((($AI76-1)*Characters!$N$10+Characters!$G$10+$AK$2)*10/2) + _xlfn.FLOOR.MATH((($AI76-1)*Characters!$P$10+Characters!$I$10+$AK$3)*5/2)</f>
        <v>451</v>
      </c>
      <c r="BB76" s="39">
        <f>_xlfn.FLOOR.MATH((($AI76-1)*Characters!$N$11+Characters!$G$11+$AK$2)*10/2) + _xlfn.FLOOR.MATH((($AI76-1)*Characters!$P$11+Characters!$I$11+$AK$3)*5/2)</f>
        <v>173</v>
      </c>
      <c r="BC76" s="33">
        <f>_xlfn.FLOOR.MATH((($AI76-1)*Characters!$N$12+Characters!$G$12+$AK$2)*10/2) + _xlfn.FLOOR.MATH((($AI76-1)*Characters!$P$12+Characters!$I$12+$AK$3)*5/2)</f>
        <v>420</v>
      </c>
    </row>
    <row r="77" spans="1:55" ht="18" customHeight="1">
      <c r="A77" s="38">
        <v>70</v>
      </c>
      <c r="B77" s="20">
        <f t="shared" si="18"/>
        <v>20</v>
      </c>
      <c r="C77" s="20">
        <f t="shared" si="19"/>
        <v>18</v>
      </c>
      <c r="D77" s="52">
        <f t="shared" si="20"/>
        <v>36</v>
      </c>
      <c r="E77" s="52">
        <f t="shared" si="24"/>
        <v>108</v>
      </c>
      <c r="F77" s="67">
        <f t="shared" si="15"/>
        <v>104</v>
      </c>
      <c r="G77" s="52">
        <f t="shared" si="16"/>
        <v>1497.7500000000002</v>
      </c>
      <c r="H77" s="52">
        <f t="shared" si="21"/>
        <v>4493.2500000000009</v>
      </c>
      <c r="I77" s="52">
        <f t="shared" si="22"/>
        <v>2995.5000000000005</v>
      </c>
      <c r="J77" s="69">
        <f t="shared" si="25"/>
        <v>76651.400000000009</v>
      </c>
      <c r="K77" s="70">
        <f t="shared" si="23"/>
        <v>60</v>
      </c>
      <c r="L77" s="132"/>
      <c r="M77" s="38">
        <f>Characters!$F$13+((Characters!$M$13 )*(Floor!$F77-1))</f>
        <v>6330</v>
      </c>
      <c r="N77" s="39">
        <f>Characters!$F$14+((Characters!$M$14 )*(Floor!F77-1))</f>
        <v>6330</v>
      </c>
      <c r="O77" s="39">
        <f>Characters!$F$15+((Characters!$M$15 )*(Floor!$F77-1))</f>
        <v>6330</v>
      </c>
      <c r="P77" s="39">
        <f>Characters!$F$16+((Characters!$M$16 )*(Floor!$F77-1))</f>
        <v>6330</v>
      </c>
      <c r="Q77" s="39">
        <f>Characters!$F$17+((Characters!$M$17)*(Floor!$F77-1))</f>
        <v>6330</v>
      </c>
      <c r="R77" s="39">
        <f>Characters!$F$18+((Characters!$M$18 )*(Floor!$F77-1))</f>
        <v>6330</v>
      </c>
      <c r="S77" s="33">
        <f>Characters!$F$19+((Characters!$M$19 )*(Floor!$F77-1))</f>
        <v>6330</v>
      </c>
      <c r="T77" s="38">
        <f>_xlfn.FLOOR.MATH((Characters!$J$13+Characters!$Q$13*(Floor!$F77-1))*5/2)</f>
        <v>792</v>
      </c>
      <c r="U77" s="39">
        <f>_xlfn.FLOOR.MATH((Characters!$J$14+Characters!$Q$14*(Floor!$F77-1))*5/2)</f>
        <v>792</v>
      </c>
      <c r="V77" s="39">
        <f>_xlfn.FLOOR.MATH((Characters!$J$15+Characters!$Q$15*(Floor!$F77-1))*5/2)</f>
        <v>792</v>
      </c>
      <c r="W77" s="39">
        <f>_xlfn.FLOOR.MATH((Characters!$J$16+Characters!$Q$16*(Floor!$F77-1))*5/2)</f>
        <v>792</v>
      </c>
      <c r="X77" s="39">
        <f>_xlfn.FLOOR.MATH((Characters!$J$17+Characters!$Q$17*(Floor!$F77-1))*5/2)</f>
        <v>792</v>
      </c>
      <c r="Y77" s="39">
        <f>_xlfn.FLOOR.MATH((Characters!$J$18+Characters!$Q$18*(Floor!$F77-1))*5/2)</f>
        <v>792</v>
      </c>
      <c r="Z77" s="39">
        <f>_xlfn.FLOOR.MATH((Characters!$J$19+Characters!$Q$19*(Floor!$F77-1))*5/2)</f>
        <v>792</v>
      </c>
      <c r="AA77" s="38">
        <f>_xlfn.FLOOR.MATH((Characters!$G$13+Characters!$N$13*(Floor!$F77-1))*10/2) + _xlfn.FLOOR.MATH((($AI77-1)*Characters!$P$13+Characters!$I$13)*5/2)</f>
        <v>734</v>
      </c>
      <c r="AB77" s="39">
        <f>_xlfn.FLOOR.MATH((Characters!$G$14+Characters!$N$14*(Floor!$F77-1))*10/2) + _xlfn.FLOOR.MATH((($AI77-1)*Characters!$P$14+Characters!$I$14)*5/2)</f>
        <v>734</v>
      </c>
      <c r="AC77" s="39">
        <f>_xlfn.FLOOR.MATH((Characters!$G$15+Characters!$N$15*(Floor!$F77-1))*10/2) + _xlfn.FLOOR.MATH((($AI77-1)*Characters!$P$15+Characters!$I$15)*5/2)</f>
        <v>734</v>
      </c>
      <c r="AD77" s="39">
        <f>_xlfn.FLOOR.MATH((Characters!$G$16+Characters!$N$16*(Floor!$F77-1))*10/2) + _xlfn.FLOOR.MATH((($AI77-1)*Characters!$P$16+Characters!$I$16)*5/2)</f>
        <v>734</v>
      </c>
      <c r="AE77" s="39">
        <f>_xlfn.FLOOR.MATH((Characters!$G$17+Characters!$N$17*(Floor!$F77-1))*10/2) + _xlfn.FLOOR.MATH((($AI77-1)*Characters!$P$17+Characters!$I$17)*5/2)</f>
        <v>734</v>
      </c>
      <c r="AF77" s="39">
        <f>_xlfn.FLOOR.MATH((Characters!$G$18+Characters!$N$18*(Floor!$F77-1))*10/2) + _xlfn.FLOOR.MATH((($AI77-1)*Characters!$P$18+Characters!$I$18)*5/2)</f>
        <v>734</v>
      </c>
      <c r="AG77" s="33">
        <f>_xlfn.FLOOR.MATH((Characters!$G$19+Characters!$N$19*(Floor!$F77-1))*10/2) + _xlfn.FLOOR.MATH((($AI77-1)*Characters!$P$19+Characters!$I$19)*5/2)</f>
        <v>734</v>
      </c>
      <c r="AH77" s="67"/>
      <c r="AI77" s="38">
        <v>70</v>
      </c>
      <c r="AJ77" s="71">
        <f t="shared" si="17"/>
        <v>4901.24</v>
      </c>
      <c r="AK77" s="105">
        <f t="shared" si="26"/>
        <v>116978.39999999998</v>
      </c>
      <c r="AL77" s="38">
        <f>_xlfn.FLOOR.MATH(($AI77-1)*Characters!$M$7+Characters!$F$7)+$AK$5</f>
        <v>6470</v>
      </c>
      <c r="AM77" s="39">
        <f>_xlfn.FLOOR.MATH(($AI77-1)*Characters!$M$8+Characters!$F$8)+$AK$5</f>
        <v>7900</v>
      </c>
      <c r="AN77" s="39">
        <f>_xlfn.FLOOR.MATH(($AI77-1)*Characters!$M$9+Characters!$F$9)+$AK$5</f>
        <v>6055</v>
      </c>
      <c r="AO77" s="39">
        <f>_xlfn.FLOOR.MATH(($AI77-1)*Characters!$M$10+Characters!$F$10)+$AK$5</f>
        <v>6775</v>
      </c>
      <c r="AP77" s="39">
        <f>_xlfn.FLOOR.MATH(($AI77-1)*Characters!$M$11+Characters!$F$11)+$AK$5</f>
        <v>6055</v>
      </c>
      <c r="AQ77" s="39">
        <f>_xlfn.FLOOR.MATH(($AI77-1)*Characters!$M$12+Characters!$F$12)+$AK$5</f>
        <v>7120</v>
      </c>
      <c r="AR77" s="38">
        <f>_xlfn.FLOOR.MATH((($AI77-1)*Characters!$Q$7+Characters!$J$7+$AK$4)*5/2)</f>
        <v>188</v>
      </c>
      <c r="AS77" s="39">
        <f>_xlfn.FLOOR.MATH((($AI77-1)*Characters!$Q$8+Characters!$J$8+$AK$4)*5/2)</f>
        <v>213</v>
      </c>
      <c r="AT77" s="39">
        <f>_xlfn.FLOOR.MATH((($AI77-1)*Characters!$Q$9+Characters!$J$9+$AK$4)*5/2)</f>
        <v>156</v>
      </c>
      <c r="AU77" s="39">
        <f>_xlfn.FLOOR.MATH((($AI77-1)*Characters!$Q$10+Characters!$J$10+$AK$4)*5/2)</f>
        <v>191</v>
      </c>
      <c r="AV77" s="39">
        <f>_xlfn.FLOOR.MATH((($AI77-1)*Characters!$Q$11+Characters!$J$11+$AK$4)*5/2)</f>
        <v>154</v>
      </c>
      <c r="AW77" s="39">
        <f>_xlfn.FLOOR.MATH((($AI77-1)*Characters!$Q$12+Characters!$J$12+$AK$4)*5/2)</f>
        <v>213</v>
      </c>
      <c r="AX77" s="38">
        <f>_xlfn.FLOOR.MATH((($AI77-1)*Characters!$N$7+Characters!$G$7+$AK$2)*10/2) + _xlfn.FLOOR.MATH((($AI77-1)*Characters!$P$7+Characters!$I$7+$AK$3)*5/2)</f>
        <v>295</v>
      </c>
      <c r="AY77" s="39">
        <f>_xlfn.FLOOR.MATH((($AI77-1)*Characters!$N$8+Characters!$G$8+$AK$2)*10/2) + _xlfn.FLOOR.MATH((($AI77-1)*Characters!$P$8+Characters!$I$8+$AK$3)*5/2)</f>
        <v>390</v>
      </c>
      <c r="AZ77" s="39">
        <f>_xlfn.FLOOR.MATH((($AI77-1)*Characters!$N$9+Characters!$G$9+$AK$2)*10/2) + _xlfn.FLOOR.MATH((($AI77-1)*Characters!$P$9+Characters!$I$9+$AK$3)*5/2)</f>
        <v>155</v>
      </c>
      <c r="BA77" s="39">
        <f>_xlfn.FLOOR.MATH((($AI77-1)*Characters!$N$10+Characters!$G$10+$AK$2)*10/2) + _xlfn.FLOOR.MATH((($AI77-1)*Characters!$P$10+Characters!$I$10+$AK$3)*5/2)</f>
        <v>456</v>
      </c>
      <c r="BB77" s="39">
        <f>_xlfn.FLOOR.MATH((($AI77-1)*Characters!$N$11+Characters!$G$11+$AK$2)*10/2) + _xlfn.FLOOR.MATH((($AI77-1)*Characters!$P$11+Characters!$I$11+$AK$3)*5/2)</f>
        <v>175</v>
      </c>
      <c r="BC77" s="33">
        <f>_xlfn.FLOOR.MATH((($AI77-1)*Characters!$N$12+Characters!$G$12+$AK$2)*10/2) + _xlfn.FLOOR.MATH((($AI77-1)*Characters!$P$12+Characters!$I$12+$AK$3)*5/2)</f>
        <v>425</v>
      </c>
    </row>
    <row r="78" spans="1:55" ht="18" customHeight="1">
      <c r="A78" s="38">
        <v>71</v>
      </c>
      <c r="B78" s="20">
        <f t="shared" si="18"/>
        <v>20</v>
      </c>
      <c r="C78" s="20">
        <f t="shared" si="19"/>
        <v>18</v>
      </c>
      <c r="D78" s="52">
        <f t="shared" si="20"/>
        <v>36</v>
      </c>
      <c r="E78" s="52">
        <f t="shared" si="24"/>
        <v>108</v>
      </c>
      <c r="F78" s="67">
        <f t="shared" si="15"/>
        <v>106</v>
      </c>
      <c r="G78" s="52">
        <f t="shared" si="16"/>
        <v>1526.5500000000002</v>
      </c>
      <c r="H78" s="52">
        <f t="shared" si="21"/>
        <v>4579.6500000000005</v>
      </c>
      <c r="I78" s="52">
        <f t="shared" si="22"/>
        <v>3053.1000000000004</v>
      </c>
      <c r="J78" s="69">
        <f t="shared" si="25"/>
        <v>79704.500000000015</v>
      </c>
      <c r="K78" s="70">
        <f t="shared" si="23"/>
        <v>61</v>
      </c>
      <c r="L78" s="132"/>
      <c r="M78" s="38">
        <f>Characters!$F$13+((Characters!$M$13 )*(Floor!$F78-1))</f>
        <v>6450</v>
      </c>
      <c r="N78" s="39">
        <f>Characters!$F$14+((Characters!$M$14 )*(Floor!F78-1))</f>
        <v>6450</v>
      </c>
      <c r="O78" s="39">
        <f>Characters!$F$15+((Characters!$M$15 )*(Floor!$F78-1))</f>
        <v>6450</v>
      </c>
      <c r="P78" s="39">
        <f>Characters!$F$16+((Characters!$M$16 )*(Floor!$F78-1))</f>
        <v>6450</v>
      </c>
      <c r="Q78" s="39">
        <f>Characters!$F$17+((Characters!$M$17)*(Floor!$F78-1))</f>
        <v>6450</v>
      </c>
      <c r="R78" s="39">
        <f>Characters!$F$18+((Characters!$M$18 )*(Floor!$F78-1))</f>
        <v>6450</v>
      </c>
      <c r="S78" s="33">
        <f>Characters!$F$19+((Characters!$M$19 )*(Floor!$F78-1))</f>
        <v>6450</v>
      </c>
      <c r="T78" s="38">
        <f>_xlfn.FLOOR.MATH((Characters!$J$13+Characters!$Q$13*(Floor!$F78-1))*5/2)</f>
        <v>807</v>
      </c>
      <c r="U78" s="39">
        <f>_xlfn.FLOOR.MATH((Characters!$J$14+Characters!$Q$14*(Floor!$F78-1))*5/2)</f>
        <v>807</v>
      </c>
      <c r="V78" s="39">
        <f>_xlfn.FLOOR.MATH((Characters!$J$15+Characters!$Q$15*(Floor!$F78-1))*5/2)</f>
        <v>807</v>
      </c>
      <c r="W78" s="39">
        <f>_xlfn.FLOOR.MATH((Characters!$J$16+Characters!$Q$16*(Floor!$F78-1))*5/2)</f>
        <v>807</v>
      </c>
      <c r="X78" s="39">
        <f>_xlfn.FLOOR.MATH((Characters!$J$17+Characters!$Q$17*(Floor!$F78-1))*5/2)</f>
        <v>807</v>
      </c>
      <c r="Y78" s="39">
        <f>_xlfn.FLOOR.MATH((Characters!$J$18+Characters!$Q$18*(Floor!$F78-1))*5/2)</f>
        <v>807</v>
      </c>
      <c r="Z78" s="39">
        <f>_xlfn.FLOOR.MATH((Characters!$J$19+Characters!$Q$19*(Floor!$F78-1))*5/2)</f>
        <v>807</v>
      </c>
      <c r="AA78" s="38">
        <f>_xlfn.FLOOR.MATH((Characters!$G$13+Characters!$N$13*(Floor!$F78-1))*10/2) + _xlfn.FLOOR.MATH((($AI78-1)*Characters!$P$13+Characters!$I$13)*5/2)</f>
        <v>747</v>
      </c>
      <c r="AB78" s="39">
        <f>_xlfn.FLOOR.MATH((Characters!$G$14+Characters!$N$14*(Floor!$F78-1))*10/2) + _xlfn.FLOOR.MATH((($AI78-1)*Characters!$P$14+Characters!$I$14)*5/2)</f>
        <v>747</v>
      </c>
      <c r="AC78" s="39">
        <f>_xlfn.FLOOR.MATH((Characters!$G$15+Characters!$N$15*(Floor!$F78-1))*10/2) + _xlfn.FLOOR.MATH((($AI78-1)*Characters!$P$15+Characters!$I$15)*5/2)</f>
        <v>747</v>
      </c>
      <c r="AD78" s="39">
        <f>_xlfn.FLOOR.MATH((Characters!$G$16+Characters!$N$16*(Floor!$F78-1))*10/2) + _xlfn.FLOOR.MATH((($AI78-1)*Characters!$P$16+Characters!$I$16)*5/2)</f>
        <v>747</v>
      </c>
      <c r="AE78" s="39">
        <f>_xlfn.FLOOR.MATH((Characters!$G$17+Characters!$N$17*(Floor!$F78-1))*10/2) + _xlfn.FLOOR.MATH((($AI78-1)*Characters!$P$17+Characters!$I$17)*5/2)</f>
        <v>747</v>
      </c>
      <c r="AF78" s="39">
        <f>_xlfn.FLOOR.MATH((Characters!$G$18+Characters!$N$18*(Floor!$F78-1))*10/2) + _xlfn.FLOOR.MATH((($AI78-1)*Characters!$P$18+Characters!$I$18)*5/2)</f>
        <v>747</v>
      </c>
      <c r="AG78" s="33">
        <f>_xlfn.FLOOR.MATH((Characters!$G$19+Characters!$N$19*(Floor!$F78-1))*10/2) + _xlfn.FLOOR.MATH((($AI78-1)*Characters!$P$19+Characters!$I$19)*5/2)</f>
        <v>747</v>
      </c>
      <c r="AH78" s="67"/>
      <c r="AI78" s="38">
        <v>71</v>
      </c>
      <c r="AJ78" s="71">
        <f t="shared" si="17"/>
        <v>5042.2</v>
      </c>
      <c r="AK78" s="105">
        <f t="shared" si="26"/>
        <v>122020.59999999998</v>
      </c>
      <c r="AL78" s="38">
        <f>_xlfn.FLOOR.MATH(($AI78-1)*Characters!$M$7+Characters!$F$7)+$AK$5</f>
        <v>6500</v>
      </c>
      <c r="AM78" s="39">
        <f>_xlfn.FLOOR.MATH(($AI78-1)*Characters!$M$8+Characters!$F$8)+$AK$5</f>
        <v>7950</v>
      </c>
      <c r="AN78" s="39">
        <f>_xlfn.FLOOR.MATH(($AI78-1)*Characters!$M$9+Characters!$F$9)+$AK$5</f>
        <v>6080</v>
      </c>
      <c r="AO78" s="39">
        <f>_xlfn.FLOOR.MATH(($AI78-1)*Characters!$M$10+Characters!$F$10)+$AK$5</f>
        <v>6810</v>
      </c>
      <c r="AP78" s="39">
        <f>_xlfn.FLOOR.MATH(($AI78-1)*Characters!$M$11+Characters!$F$11)+$AK$5</f>
        <v>6080</v>
      </c>
      <c r="AQ78" s="39">
        <f>_xlfn.FLOOR.MATH(($AI78-1)*Characters!$M$12+Characters!$F$12)+$AK$5</f>
        <v>7160</v>
      </c>
      <c r="AR78" s="38">
        <f>_xlfn.FLOOR.MATH((($AI78-1)*Characters!$Q$7+Characters!$J$7+$AK$4)*5/2)</f>
        <v>190</v>
      </c>
      <c r="AS78" s="39">
        <f>_xlfn.FLOOR.MATH((($AI78-1)*Characters!$Q$8+Characters!$J$8+$AK$4)*5/2)</f>
        <v>215</v>
      </c>
      <c r="AT78" s="39">
        <f>_xlfn.FLOOR.MATH((($AI78-1)*Characters!$Q$9+Characters!$J$9+$AK$4)*5/2)</f>
        <v>157</v>
      </c>
      <c r="AU78" s="39">
        <f>_xlfn.FLOOR.MATH((($AI78-1)*Characters!$Q$10+Characters!$J$10+$AK$4)*5/2)</f>
        <v>192</v>
      </c>
      <c r="AV78" s="39">
        <f>_xlfn.FLOOR.MATH((($AI78-1)*Characters!$Q$11+Characters!$J$11+$AK$4)*5/2)</f>
        <v>155</v>
      </c>
      <c r="AW78" s="39">
        <f>_xlfn.FLOOR.MATH((($AI78-1)*Characters!$Q$12+Characters!$J$12+$AK$4)*5/2)</f>
        <v>215</v>
      </c>
      <c r="AX78" s="38">
        <f>_xlfn.FLOOR.MATH((($AI78-1)*Characters!$N$7+Characters!$G$7+$AK$2)*10/2) + _xlfn.FLOOR.MATH((($AI78-1)*Characters!$P$7+Characters!$I$7+$AK$3)*5/2)</f>
        <v>300</v>
      </c>
      <c r="AY78" s="39">
        <f>_xlfn.FLOOR.MATH((($AI78-1)*Characters!$N$8+Characters!$G$8+$AK$2)*10/2) + _xlfn.FLOOR.MATH((($AI78-1)*Characters!$P$8+Characters!$I$8+$AK$3)*5/2)</f>
        <v>395</v>
      </c>
      <c r="AZ78" s="39">
        <f>_xlfn.FLOOR.MATH((($AI78-1)*Characters!$N$9+Characters!$G$9+$AK$2)*10/2) + _xlfn.FLOOR.MATH((($AI78-1)*Characters!$P$9+Characters!$I$9+$AK$3)*5/2)</f>
        <v>157</v>
      </c>
      <c r="BA78" s="39">
        <f>_xlfn.FLOOR.MATH((($AI78-1)*Characters!$N$10+Characters!$G$10+$AK$2)*10/2) + _xlfn.FLOOR.MATH((($AI78-1)*Characters!$P$10+Characters!$I$10+$AK$3)*5/2)</f>
        <v>462</v>
      </c>
      <c r="BB78" s="39">
        <f>_xlfn.FLOOR.MATH((($AI78-1)*Characters!$N$11+Characters!$G$11+$AK$2)*10/2) + _xlfn.FLOOR.MATH((($AI78-1)*Characters!$P$11+Characters!$I$11+$AK$3)*5/2)</f>
        <v>177</v>
      </c>
      <c r="BC78" s="33">
        <f>_xlfn.FLOOR.MATH((($AI78-1)*Characters!$N$12+Characters!$G$12+$AK$2)*10/2) + _xlfn.FLOOR.MATH((($AI78-1)*Characters!$P$12+Characters!$I$12+$AK$3)*5/2)</f>
        <v>430</v>
      </c>
    </row>
    <row r="79" spans="1:55" ht="18" customHeight="1">
      <c r="A79" s="38">
        <v>72</v>
      </c>
      <c r="B79" s="20">
        <f t="shared" si="18"/>
        <v>20</v>
      </c>
      <c r="C79" s="20">
        <f t="shared" si="19"/>
        <v>18</v>
      </c>
      <c r="D79" s="52">
        <f t="shared" si="20"/>
        <v>36</v>
      </c>
      <c r="E79" s="52">
        <f t="shared" si="24"/>
        <v>108</v>
      </c>
      <c r="F79" s="67">
        <f t="shared" si="15"/>
        <v>107</v>
      </c>
      <c r="G79" s="52">
        <f t="shared" si="16"/>
        <v>1540.9500000000003</v>
      </c>
      <c r="H79" s="52">
        <f t="shared" si="21"/>
        <v>4622.8500000000004</v>
      </c>
      <c r="I79" s="52">
        <f t="shared" si="22"/>
        <v>3081.9000000000005</v>
      </c>
      <c r="J79" s="69">
        <f t="shared" si="25"/>
        <v>82786.400000000009</v>
      </c>
      <c r="K79" s="70">
        <f t="shared" si="23"/>
        <v>62</v>
      </c>
      <c r="L79" s="132"/>
      <c r="M79" s="38">
        <f>Characters!$F$13+((Characters!$M$13 )*(Floor!$F79-1))</f>
        <v>6510</v>
      </c>
      <c r="N79" s="39">
        <f>Characters!$F$14+((Characters!$M$14 )*(Floor!F79-1))</f>
        <v>6510</v>
      </c>
      <c r="O79" s="39">
        <f>Characters!$F$15+((Characters!$M$15 )*(Floor!$F79-1))</f>
        <v>6510</v>
      </c>
      <c r="P79" s="39">
        <f>Characters!$F$16+((Characters!$M$16 )*(Floor!$F79-1))</f>
        <v>6510</v>
      </c>
      <c r="Q79" s="39">
        <f>Characters!$F$17+((Characters!$M$17)*(Floor!$F79-1))</f>
        <v>6510</v>
      </c>
      <c r="R79" s="39">
        <f>Characters!$F$18+((Characters!$M$18 )*(Floor!$F79-1))</f>
        <v>6510</v>
      </c>
      <c r="S79" s="33">
        <f>Characters!$F$19+((Characters!$M$19 )*(Floor!$F79-1))</f>
        <v>6510</v>
      </c>
      <c r="T79" s="38">
        <f>_xlfn.FLOOR.MATH((Characters!$J$13+Characters!$Q$13*(Floor!$F79-1))*5/2)</f>
        <v>815</v>
      </c>
      <c r="U79" s="39">
        <f>_xlfn.FLOOR.MATH((Characters!$J$14+Characters!$Q$14*(Floor!$F79-1))*5/2)</f>
        <v>815</v>
      </c>
      <c r="V79" s="39">
        <f>_xlfn.FLOOR.MATH((Characters!$J$15+Characters!$Q$15*(Floor!$F79-1))*5/2)</f>
        <v>815</v>
      </c>
      <c r="W79" s="39">
        <f>_xlfn.FLOOR.MATH((Characters!$J$16+Characters!$Q$16*(Floor!$F79-1))*5/2)</f>
        <v>815</v>
      </c>
      <c r="X79" s="39">
        <f>_xlfn.FLOOR.MATH((Characters!$J$17+Characters!$Q$17*(Floor!$F79-1))*5/2)</f>
        <v>815</v>
      </c>
      <c r="Y79" s="39">
        <f>_xlfn.FLOOR.MATH((Characters!$J$18+Characters!$Q$18*(Floor!$F79-1))*5/2)</f>
        <v>815</v>
      </c>
      <c r="Z79" s="39">
        <f>_xlfn.FLOOR.MATH((Characters!$J$19+Characters!$Q$19*(Floor!$F79-1))*5/2)</f>
        <v>815</v>
      </c>
      <c r="AA79" s="38">
        <f>_xlfn.FLOOR.MATH((Characters!$G$13+Characters!$N$13*(Floor!$F79-1))*10/2) + _xlfn.FLOOR.MATH((($AI79-1)*Characters!$P$13+Characters!$I$13)*5/2)</f>
        <v>754</v>
      </c>
      <c r="AB79" s="39">
        <f>_xlfn.FLOOR.MATH((Characters!$G$14+Characters!$N$14*(Floor!$F79-1))*10/2) + _xlfn.FLOOR.MATH((($AI79-1)*Characters!$P$14+Characters!$I$14)*5/2)</f>
        <v>754</v>
      </c>
      <c r="AC79" s="39">
        <f>_xlfn.FLOOR.MATH((Characters!$G$15+Characters!$N$15*(Floor!$F79-1))*10/2) + _xlfn.FLOOR.MATH((($AI79-1)*Characters!$P$15+Characters!$I$15)*5/2)</f>
        <v>754</v>
      </c>
      <c r="AD79" s="39">
        <f>_xlfn.FLOOR.MATH((Characters!$G$16+Characters!$N$16*(Floor!$F79-1))*10/2) + _xlfn.FLOOR.MATH((($AI79-1)*Characters!$P$16+Characters!$I$16)*5/2)</f>
        <v>754</v>
      </c>
      <c r="AE79" s="39">
        <f>_xlfn.FLOOR.MATH((Characters!$G$17+Characters!$N$17*(Floor!$F79-1))*10/2) + _xlfn.FLOOR.MATH((($AI79-1)*Characters!$P$17+Characters!$I$17)*5/2)</f>
        <v>754</v>
      </c>
      <c r="AF79" s="39">
        <f>_xlfn.FLOOR.MATH((Characters!$G$18+Characters!$N$18*(Floor!$F79-1))*10/2) + _xlfn.FLOOR.MATH((($AI79-1)*Characters!$P$18+Characters!$I$18)*5/2)</f>
        <v>754</v>
      </c>
      <c r="AG79" s="33">
        <f>_xlfn.FLOOR.MATH((Characters!$G$19+Characters!$N$19*(Floor!$F79-1))*10/2) + _xlfn.FLOOR.MATH((($AI79-1)*Characters!$P$19+Characters!$I$19)*5/2)</f>
        <v>754</v>
      </c>
      <c r="AH79" s="67"/>
      <c r="AI79" s="38">
        <v>72</v>
      </c>
      <c r="AJ79" s="71">
        <f t="shared" si="17"/>
        <v>5185.16</v>
      </c>
      <c r="AK79" s="105">
        <f t="shared" si="26"/>
        <v>127205.75999999998</v>
      </c>
      <c r="AL79" s="38">
        <f>_xlfn.FLOOR.MATH(($AI79-1)*Characters!$M$7+Characters!$F$7)+$AK$5</f>
        <v>6530</v>
      </c>
      <c r="AM79" s="39">
        <f>_xlfn.FLOOR.MATH(($AI79-1)*Characters!$M$8+Characters!$F$8)+$AK$5</f>
        <v>8000</v>
      </c>
      <c r="AN79" s="39">
        <f>_xlfn.FLOOR.MATH(($AI79-1)*Characters!$M$9+Characters!$F$9)+$AK$5</f>
        <v>6105</v>
      </c>
      <c r="AO79" s="39">
        <f>_xlfn.FLOOR.MATH(($AI79-1)*Characters!$M$10+Characters!$F$10)+$AK$5</f>
        <v>6845</v>
      </c>
      <c r="AP79" s="39">
        <f>_xlfn.FLOOR.MATH(($AI79-1)*Characters!$M$11+Characters!$F$11)+$AK$5</f>
        <v>6105</v>
      </c>
      <c r="AQ79" s="39">
        <f>_xlfn.FLOOR.MATH(($AI79-1)*Characters!$M$12+Characters!$F$12)+$AK$5</f>
        <v>7200</v>
      </c>
      <c r="AR79" s="38">
        <f>_xlfn.FLOOR.MATH((($AI79-1)*Characters!$Q$7+Characters!$J$7+$AK$4)*5/2)</f>
        <v>191</v>
      </c>
      <c r="AS79" s="39">
        <f>_xlfn.FLOOR.MATH((($AI79-1)*Characters!$Q$8+Characters!$J$8+$AK$4)*5/2)</f>
        <v>216</v>
      </c>
      <c r="AT79" s="39">
        <f>_xlfn.FLOOR.MATH((($AI79-1)*Characters!$Q$9+Characters!$J$9+$AK$4)*5/2)</f>
        <v>158</v>
      </c>
      <c r="AU79" s="39">
        <f>_xlfn.FLOOR.MATH((($AI79-1)*Characters!$Q$10+Characters!$J$10+$AK$4)*5/2)</f>
        <v>193</v>
      </c>
      <c r="AV79" s="39">
        <f>_xlfn.FLOOR.MATH((($AI79-1)*Characters!$Q$11+Characters!$J$11+$AK$4)*5/2)</f>
        <v>155</v>
      </c>
      <c r="AW79" s="39">
        <f>_xlfn.FLOOR.MATH((($AI79-1)*Characters!$Q$12+Characters!$J$12+$AK$4)*5/2)</f>
        <v>216</v>
      </c>
      <c r="AX79" s="38">
        <f>_xlfn.FLOOR.MATH((($AI79-1)*Characters!$N$7+Characters!$G$7+$AK$2)*10/2) + _xlfn.FLOOR.MATH((($AI79-1)*Characters!$P$7+Characters!$I$7+$AK$3)*5/2)</f>
        <v>303</v>
      </c>
      <c r="AY79" s="39">
        <f>_xlfn.FLOOR.MATH((($AI79-1)*Characters!$N$8+Characters!$G$8+$AK$2)*10/2) + _xlfn.FLOOR.MATH((($AI79-1)*Characters!$P$8+Characters!$I$8+$AK$3)*5/2)</f>
        <v>399</v>
      </c>
      <c r="AZ79" s="39">
        <f>_xlfn.FLOOR.MATH((($AI79-1)*Characters!$N$9+Characters!$G$9+$AK$2)*10/2) + _xlfn.FLOOR.MATH((($AI79-1)*Characters!$P$9+Characters!$I$9+$AK$3)*5/2)</f>
        <v>159</v>
      </c>
      <c r="BA79" s="39">
        <f>_xlfn.FLOOR.MATH((($AI79-1)*Characters!$N$10+Characters!$G$10+$AK$2)*10/2) + _xlfn.FLOOR.MATH((($AI79-1)*Characters!$P$10+Characters!$I$10+$AK$3)*5/2)</f>
        <v>467</v>
      </c>
      <c r="BB79" s="39">
        <f>_xlfn.FLOOR.MATH((($AI79-1)*Characters!$N$11+Characters!$G$11+$AK$2)*10/2) + _xlfn.FLOOR.MATH((($AI79-1)*Characters!$P$11+Characters!$I$11+$AK$3)*5/2)</f>
        <v>179</v>
      </c>
      <c r="BC79" s="33">
        <f>_xlfn.FLOOR.MATH((($AI79-1)*Characters!$N$12+Characters!$G$12+$AK$2)*10/2) + _xlfn.FLOOR.MATH((($AI79-1)*Characters!$P$12+Characters!$I$12+$AK$3)*5/2)</f>
        <v>435</v>
      </c>
    </row>
    <row r="80" spans="1:55" ht="18" customHeight="1">
      <c r="A80" s="38">
        <v>73</v>
      </c>
      <c r="B80" s="20">
        <f t="shared" si="18"/>
        <v>20</v>
      </c>
      <c r="C80" s="20">
        <f t="shared" si="19"/>
        <v>18</v>
      </c>
      <c r="D80" s="52">
        <f t="shared" si="20"/>
        <v>36</v>
      </c>
      <c r="E80" s="52">
        <f t="shared" si="24"/>
        <v>108</v>
      </c>
      <c r="F80" s="67">
        <f t="shared" si="15"/>
        <v>109</v>
      </c>
      <c r="G80" s="52">
        <f t="shared" si="16"/>
        <v>1569.7500000000002</v>
      </c>
      <c r="H80" s="52">
        <f t="shared" si="21"/>
        <v>4709.2500000000009</v>
      </c>
      <c r="I80" s="52">
        <f t="shared" si="22"/>
        <v>3139.5000000000005</v>
      </c>
      <c r="J80" s="69">
        <f t="shared" si="25"/>
        <v>85925.900000000009</v>
      </c>
      <c r="K80" s="70">
        <f t="shared" si="23"/>
        <v>63</v>
      </c>
      <c r="L80" s="132"/>
      <c r="M80" s="38">
        <f>Characters!$F$13+((Characters!$M$13 )*(Floor!$F80-1))</f>
        <v>6630</v>
      </c>
      <c r="N80" s="39">
        <f>Characters!$F$14+((Characters!$M$14 )*(Floor!F80-1))</f>
        <v>6630</v>
      </c>
      <c r="O80" s="39">
        <f>Characters!$F$15+((Characters!$M$15 )*(Floor!$F80-1))</f>
        <v>6630</v>
      </c>
      <c r="P80" s="39">
        <f>Characters!$F$16+((Characters!$M$16 )*(Floor!$F80-1))</f>
        <v>6630</v>
      </c>
      <c r="Q80" s="39">
        <f>Characters!$F$17+((Characters!$M$17)*(Floor!$F80-1))</f>
        <v>6630</v>
      </c>
      <c r="R80" s="39">
        <f>Characters!$F$18+((Characters!$M$18 )*(Floor!$F80-1))</f>
        <v>6630</v>
      </c>
      <c r="S80" s="33">
        <f>Characters!$F$19+((Characters!$M$19 )*(Floor!$F80-1))</f>
        <v>6630</v>
      </c>
      <c r="T80" s="38">
        <f>_xlfn.FLOOR.MATH((Characters!$J$13+Characters!$Q$13*(Floor!$F80-1))*5/2)</f>
        <v>830</v>
      </c>
      <c r="U80" s="39">
        <f>_xlfn.FLOOR.MATH((Characters!$J$14+Characters!$Q$14*(Floor!$F80-1))*5/2)</f>
        <v>830</v>
      </c>
      <c r="V80" s="39">
        <f>_xlfn.FLOOR.MATH((Characters!$J$15+Characters!$Q$15*(Floor!$F80-1))*5/2)</f>
        <v>830</v>
      </c>
      <c r="W80" s="39">
        <f>_xlfn.FLOOR.MATH((Characters!$J$16+Characters!$Q$16*(Floor!$F80-1))*5/2)</f>
        <v>830</v>
      </c>
      <c r="X80" s="39">
        <f>_xlfn.FLOOR.MATH((Characters!$J$17+Characters!$Q$17*(Floor!$F80-1))*5/2)</f>
        <v>830</v>
      </c>
      <c r="Y80" s="39">
        <f>_xlfn.FLOOR.MATH((Characters!$J$18+Characters!$Q$18*(Floor!$F80-1))*5/2)</f>
        <v>830</v>
      </c>
      <c r="Z80" s="39">
        <f>_xlfn.FLOOR.MATH((Characters!$J$19+Characters!$Q$19*(Floor!$F80-1))*5/2)</f>
        <v>830</v>
      </c>
      <c r="AA80" s="38">
        <f>_xlfn.FLOOR.MATH((Characters!$G$13+Characters!$N$13*(Floor!$F80-1))*10/2) + _xlfn.FLOOR.MATH((($AI80-1)*Characters!$P$13+Characters!$I$13)*5/2)</f>
        <v>768</v>
      </c>
      <c r="AB80" s="39">
        <f>_xlfn.FLOOR.MATH((Characters!$G$14+Characters!$N$14*(Floor!$F80-1))*10/2) + _xlfn.FLOOR.MATH((($AI80-1)*Characters!$P$14+Characters!$I$14)*5/2)</f>
        <v>768</v>
      </c>
      <c r="AC80" s="39">
        <f>_xlfn.FLOOR.MATH((Characters!$G$15+Characters!$N$15*(Floor!$F80-1))*10/2) + _xlfn.FLOOR.MATH((($AI80-1)*Characters!$P$15+Characters!$I$15)*5/2)</f>
        <v>768</v>
      </c>
      <c r="AD80" s="39">
        <f>_xlfn.FLOOR.MATH((Characters!$G$16+Characters!$N$16*(Floor!$F80-1))*10/2) + _xlfn.FLOOR.MATH((($AI80-1)*Characters!$P$16+Characters!$I$16)*5/2)</f>
        <v>768</v>
      </c>
      <c r="AE80" s="39">
        <f>_xlfn.FLOOR.MATH((Characters!$G$17+Characters!$N$17*(Floor!$F80-1))*10/2) + _xlfn.FLOOR.MATH((($AI80-1)*Characters!$P$17+Characters!$I$17)*5/2)</f>
        <v>768</v>
      </c>
      <c r="AF80" s="39">
        <f>_xlfn.FLOOR.MATH((Characters!$G$18+Characters!$N$18*(Floor!$F80-1))*10/2) + _xlfn.FLOOR.MATH((($AI80-1)*Characters!$P$18+Characters!$I$18)*5/2)</f>
        <v>768</v>
      </c>
      <c r="AG80" s="33">
        <f>_xlfn.FLOOR.MATH((Characters!$G$19+Characters!$N$19*(Floor!$F80-1))*10/2) + _xlfn.FLOOR.MATH((($AI80-1)*Characters!$P$19+Characters!$I$19)*5/2)</f>
        <v>768</v>
      </c>
      <c r="AH80" s="67"/>
      <c r="AI80" s="38">
        <v>73</v>
      </c>
      <c r="AJ80" s="71">
        <f t="shared" si="17"/>
        <v>5330.12</v>
      </c>
      <c r="AK80" s="105">
        <f t="shared" si="26"/>
        <v>132535.87999999998</v>
      </c>
      <c r="AL80" s="38">
        <f>_xlfn.FLOOR.MATH(($AI80-1)*Characters!$M$7+Characters!$F$7)+$AK$5</f>
        <v>6560</v>
      </c>
      <c r="AM80" s="39">
        <f>_xlfn.FLOOR.MATH(($AI80-1)*Characters!$M$8+Characters!$F$8)+$AK$5</f>
        <v>8050</v>
      </c>
      <c r="AN80" s="39">
        <f>_xlfn.FLOOR.MATH(($AI80-1)*Characters!$M$9+Characters!$F$9)+$AK$5</f>
        <v>6130</v>
      </c>
      <c r="AO80" s="39">
        <f>_xlfn.FLOOR.MATH(($AI80-1)*Characters!$M$10+Characters!$F$10)+$AK$5</f>
        <v>6880</v>
      </c>
      <c r="AP80" s="39">
        <f>_xlfn.FLOOR.MATH(($AI80-1)*Characters!$M$11+Characters!$F$11)+$AK$5</f>
        <v>6130</v>
      </c>
      <c r="AQ80" s="39">
        <f>_xlfn.FLOOR.MATH(($AI80-1)*Characters!$M$12+Characters!$F$12)+$AK$5</f>
        <v>7240</v>
      </c>
      <c r="AR80" s="38">
        <f>_xlfn.FLOOR.MATH((($AI80-1)*Characters!$Q$7+Characters!$J$7+$AK$4)*5/2)</f>
        <v>192</v>
      </c>
      <c r="AS80" s="39">
        <f>_xlfn.FLOOR.MATH((($AI80-1)*Characters!$Q$8+Characters!$J$8+$AK$4)*5/2)</f>
        <v>218</v>
      </c>
      <c r="AT80" s="39">
        <f>_xlfn.FLOOR.MATH((($AI80-1)*Characters!$Q$9+Characters!$J$9+$AK$4)*5/2)</f>
        <v>159</v>
      </c>
      <c r="AU80" s="39">
        <f>_xlfn.FLOOR.MATH((($AI80-1)*Characters!$Q$10+Characters!$J$10+$AK$4)*5/2)</f>
        <v>195</v>
      </c>
      <c r="AV80" s="39">
        <f>_xlfn.FLOOR.MATH((($AI80-1)*Characters!$Q$11+Characters!$J$11+$AK$4)*5/2)</f>
        <v>156</v>
      </c>
      <c r="AW80" s="39">
        <f>_xlfn.FLOOR.MATH((($AI80-1)*Characters!$Q$12+Characters!$J$12+$AK$4)*5/2)</f>
        <v>218</v>
      </c>
      <c r="AX80" s="38">
        <f>_xlfn.FLOOR.MATH((($AI80-1)*Characters!$N$7+Characters!$G$7+$AK$2)*10/2) + _xlfn.FLOOR.MATH((($AI80-1)*Characters!$P$7+Characters!$I$7+$AK$3)*5/2)</f>
        <v>307</v>
      </c>
      <c r="AY80" s="39">
        <f>_xlfn.FLOOR.MATH((($AI80-1)*Characters!$N$8+Characters!$G$8+$AK$2)*10/2) + _xlfn.FLOOR.MATH((($AI80-1)*Characters!$P$8+Characters!$I$8+$AK$3)*5/2)</f>
        <v>404</v>
      </c>
      <c r="AZ80" s="39">
        <f>_xlfn.FLOOR.MATH((($AI80-1)*Characters!$N$9+Characters!$G$9+$AK$2)*10/2) + _xlfn.FLOOR.MATH((($AI80-1)*Characters!$P$9+Characters!$I$9+$AK$3)*5/2)</f>
        <v>161</v>
      </c>
      <c r="BA80" s="39">
        <f>_xlfn.FLOOR.MATH((($AI80-1)*Characters!$N$10+Characters!$G$10+$AK$2)*10/2) + _xlfn.FLOOR.MATH((($AI80-1)*Characters!$P$10+Characters!$I$10+$AK$3)*5/2)</f>
        <v>473</v>
      </c>
      <c r="BB80" s="39">
        <f>_xlfn.FLOOR.MATH((($AI80-1)*Characters!$N$11+Characters!$G$11+$AK$2)*10/2) + _xlfn.FLOOR.MATH((($AI80-1)*Characters!$P$11+Characters!$I$11+$AK$3)*5/2)</f>
        <v>181</v>
      </c>
      <c r="BC80" s="33">
        <f>_xlfn.FLOOR.MATH((($AI80-1)*Characters!$N$12+Characters!$G$12+$AK$2)*10/2) + _xlfn.FLOOR.MATH((($AI80-1)*Characters!$P$12+Characters!$I$12+$AK$3)*5/2)</f>
        <v>440</v>
      </c>
    </row>
    <row r="81" spans="1:55" ht="18" customHeight="1">
      <c r="A81" s="38">
        <v>74</v>
      </c>
      <c r="B81" s="20">
        <f t="shared" si="18"/>
        <v>20</v>
      </c>
      <c r="C81" s="20">
        <f t="shared" si="19"/>
        <v>18</v>
      </c>
      <c r="D81" s="52">
        <f t="shared" si="20"/>
        <v>36</v>
      </c>
      <c r="E81" s="52">
        <f t="shared" si="24"/>
        <v>108</v>
      </c>
      <c r="F81" s="67">
        <f t="shared" si="15"/>
        <v>110</v>
      </c>
      <c r="G81" s="52">
        <f t="shared" si="16"/>
        <v>1584.15</v>
      </c>
      <c r="H81" s="52">
        <f t="shared" si="21"/>
        <v>4752.4500000000007</v>
      </c>
      <c r="I81" s="52">
        <f t="shared" si="22"/>
        <v>3168.3</v>
      </c>
      <c r="J81" s="69">
        <f t="shared" si="25"/>
        <v>89094.200000000012</v>
      </c>
      <c r="K81" s="70">
        <f t="shared" si="23"/>
        <v>63</v>
      </c>
      <c r="L81" s="132"/>
      <c r="M81" s="38">
        <f>Characters!$F$13+((Characters!$M$13 )*(Floor!$F81-1))</f>
        <v>6690</v>
      </c>
      <c r="N81" s="39">
        <f>Characters!$F$14+((Characters!$M$14 )*(Floor!F81-1))</f>
        <v>6690</v>
      </c>
      <c r="O81" s="39">
        <f>Characters!$F$15+((Characters!$M$15 )*(Floor!$F81-1))</f>
        <v>6690</v>
      </c>
      <c r="P81" s="39">
        <f>Characters!$F$16+((Characters!$M$16 )*(Floor!$F81-1))</f>
        <v>6690</v>
      </c>
      <c r="Q81" s="39">
        <f>Characters!$F$17+((Characters!$M$17)*(Floor!$F81-1))</f>
        <v>6690</v>
      </c>
      <c r="R81" s="39">
        <f>Characters!$F$18+((Characters!$M$18 )*(Floor!$F81-1))</f>
        <v>6690</v>
      </c>
      <c r="S81" s="33">
        <f>Characters!$F$19+((Characters!$M$19 )*(Floor!$F81-1))</f>
        <v>6690</v>
      </c>
      <c r="T81" s="38">
        <f>_xlfn.FLOOR.MATH((Characters!$J$13+Characters!$Q$13*(Floor!$F81-1))*5/2)</f>
        <v>837</v>
      </c>
      <c r="U81" s="39">
        <f>_xlfn.FLOOR.MATH((Characters!$J$14+Characters!$Q$14*(Floor!$F81-1))*5/2)</f>
        <v>837</v>
      </c>
      <c r="V81" s="39">
        <f>_xlfn.FLOOR.MATH((Characters!$J$15+Characters!$Q$15*(Floor!$F81-1))*5/2)</f>
        <v>837</v>
      </c>
      <c r="W81" s="39">
        <f>_xlfn.FLOOR.MATH((Characters!$J$16+Characters!$Q$16*(Floor!$F81-1))*5/2)</f>
        <v>837</v>
      </c>
      <c r="X81" s="39">
        <f>_xlfn.FLOOR.MATH((Characters!$J$17+Characters!$Q$17*(Floor!$F81-1))*5/2)</f>
        <v>837</v>
      </c>
      <c r="Y81" s="39">
        <f>_xlfn.FLOOR.MATH((Characters!$J$18+Characters!$Q$18*(Floor!$F81-1))*5/2)</f>
        <v>837</v>
      </c>
      <c r="Z81" s="39">
        <f>_xlfn.FLOOR.MATH((Characters!$J$19+Characters!$Q$19*(Floor!$F81-1))*5/2)</f>
        <v>837</v>
      </c>
      <c r="AA81" s="38">
        <f>_xlfn.FLOOR.MATH((Characters!$G$13+Characters!$N$13*(Floor!$F81-1))*10/2) + _xlfn.FLOOR.MATH((($AI81-1)*Characters!$P$13+Characters!$I$13)*5/2)</f>
        <v>775</v>
      </c>
      <c r="AB81" s="39">
        <f>_xlfn.FLOOR.MATH((Characters!$G$14+Characters!$N$14*(Floor!$F81-1))*10/2) + _xlfn.FLOOR.MATH((($AI81-1)*Characters!$P$14+Characters!$I$14)*5/2)</f>
        <v>775</v>
      </c>
      <c r="AC81" s="39">
        <f>_xlfn.FLOOR.MATH((Characters!$G$15+Characters!$N$15*(Floor!$F81-1))*10/2) + _xlfn.FLOOR.MATH((($AI81-1)*Characters!$P$15+Characters!$I$15)*5/2)</f>
        <v>775</v>
      </c>
      <c r="AD81" s="39">
        <f>_xlfn.FLOOR.MATH((Characters!$G$16+Characters!$N$16*(Floor!$F81-1))*10/2) + _xlfn.FLOOR.MATH((($AI81-1)*Characters!$P$16+Characters!$I$16)*5/2)</f>
        <v>775</v>
      </c>
      <c r="AE81" s="39">
        <f>_xlfn.FLOOR.MATH((Characters!$G$17+Characters!$N$17*(Floor!$F81-1))*10/2) + _xlfn.FLOOR.MATH((($AI81-1)*Characters!$P$17+Characters!$I$17)*5/2)</f>
        <v>775</v>
      </c>
      <c r="AF81" s="39">
        <f>_xlfn.FLOOR.MATH((Characters!$G$18+Characters!$N$18*(Floor!$F81-1))*10/2) + _xlfn.FLOOR.MATH((($AI81-1)*Characters!$P$18+Characters!$I$18)*5/2)</f>
        <v>775</v>
      </c>
      <c r="AG81" s="33">
        <f>_xlfn.FLOOR.MATH((Characters!$G$19+Characters!$N$19*(Floor!$F81-1))*10/2) + _xlfn.FLOOR.MATH((($AI81-1)*Characters!$P$19+Characters!$I$19)*5/2)</f>
        <v>775</v>
      </c>
      <c r="AH81" s="67"/>
      <c r="AI81" s="38">
        <v>74</v>
      </c>
      <c r="AJ81" s="71">
        <f t="shared" si="17"/>
        <v>5477.08</v>
      </c>
      <c r="AK81" s="105">
        <f t="shared" si="26"/>
        <v>138012.95999999996</v>
      </c>
      <c r="AL81" s="38">
        <f>_xlfn.FLOOR.MATH(($AI81-1)*Characters!$M$7+Characters!$F$7)+$AK$5</f>
        <v>6590</v>
      </c>
      <c r="AM81" s="39">
        <f>_xlfn.FLOOR.MATH(($AI81-1)*Characters!$M$8+Characters!$F$8)+$AK$5</f>
        <v>8100</v>
      </c>
      <c r="AN81" s="39">
        <f>_xlfn.FLOOR.MATH(($AI81-1)*Characters!$M$9+Characters!$F$9)+$AK$5</f>
        <v>6155</v>
      </c>
      <c r="AO81" s="39">
        <f>_xlfn.FLOOR.MATH(($AI81-1)*Characters!$M$10+Characters!$F$10)+$AK$5</f>
        <v>6915</v>
      </c>
      <c r="AP81" s="39">
        <f>_xlfn.FLOOR.MATH(($AI81-1)*Characters!$M$11+Characters!$F$11)+$AK$5</f>
        <v>6155</v>
      </c>
      <c r="AQ81" s="39">
        <f>_xlfn.FLOOR.MATH(($AI81-1)*Characters!$M$12+Characters!$F$12)+$AK$5</f>
        <v>7280</v>
      </c>
      <c r="AR81" s="38">
        <f>_xlfn.FLOOR.MATH((($AI81-1)*Characters!$Q$7+Characters!$J$7+$AK$4)*5/2)</f>
        <v>193</v>
      </c>
      <c r="AS81" s="39">
        <f>_xlfn.FLOOR.MATH((($AI81-1)*Characters!$Q$8+Characters!$J$8+$AK$4)*5/2)</f>
        <v>219</v>
      </c>
      <c r="AT81" s="39">
        <f>_xlfn.FLOOR.MATH((($AI81-1)*Characters!$Q$9+Characters!$J$9+$AK$4)*5/2)</f>
        <v>159</v>
      </c>
      <c r="AU81" s="39">
        <f>_xlfn.FLOOR.MATH((($AI81-1)*Characters!$Q$10+Characters!$J$10+$AK$4)*5/2)</f>
        <v>196</v>
      </c>
      <c r="AV81" s="39">
        <f>_xlfn.FLOOR.MATH((($AI81-1)*Characters!$Q$11+Characters!$J$11+$AK$4)*5/2)</f>
        <v>157</v>
      </c>
      <c r="AW81" s="39">
        <f>_xlfn.FLOOR.MATH((($AI81-1)*Characters!$Q$12+Characters!$J$12+$AK$4)*5/2)</f>
        <v>219</v>
      </c>
      <c r="AX81" s="38">
        <f>_xlfn.FLOOR.MATH((($AI81-1)*Characters!$N$7+Characters!$G$7+$AK$2)*10/2) + _xlfn.FLOOR.MATH((($AI81-1)*Characters!$P$7+Characters!$I$7+$AK$3)*5/2)</f>
        <v>310</v>
      </c>
      <c r="AY81" s="39">
        <f>_xlfn.FLOOR.MATH((($AI81-1)*Characters!$N$8+Characters!$G$8+$AK$2)*10/2) + _xlfn.FLOOR.MATH((($AI81-1)*Characters!$P$8+Characters!$I$8+$AK$3)*5/2)</f>
        <v>408</v>
      </c>
      <c r="AZ81" s="39">
        <f>_xlfn.FLOOR.MATH((($AI81-1)*Characters!$N$9+Characters!$G$9+$AK$2)*10/2) + _xlfn.FLOOR.MATH((($AI81-1)*Characters!$P$9+Characters!$I$9+$AK$3)*5/2)</f>
        <v>162</v>
      </c>
      <c r="BA81" s="39">
        <f>_xlfn.FLOOR.MATH((($AI81-1)*Characters!$N$10+Characters!$G$10+$AK$2)*10/2) + _xlfn.FLOOR.MATH((($AI81-1)*Characters!$P$10+Characters!$I$10+$AK$3)*5/2)</f>
        <v>478</v>
      </c>
      <c r="BB81" s="39">
        <f>_xlfn.FLOOR.MATH((($AI81-1)*Characters!$N$11+Characters!$G$11+$AK$2)*10/2) + _xlfn.FLOOR.MATH((($AI81-1)*Characters!$P$11+Characters!$I$11+$AK$3)*5/2)</f>
        <v>183</v>
      </c>
      <c r="BC81" s="33">
        <f>_xlfn.FLOOR.MATH((($AI81-1)*Characters!$N$12+Characters!$G$12+$AK$2)*10/2) + _xlfn.FLOOR.MATH((($AI81-1)*Characters!$P$12+Characters!$I$12+$AK$3)*5/2)</f>
        <v>445</v>
      </c>
    </row>
    <row r="82" spans="1:55" ht="18" customHeight="1">
      <c r="A82" s="38">
        <v>75</v>
      </c>
      <c r="B82" s="20">
        <f t="shared" si="18"/>
        <v>21</v>
      </c>
      <c r="C82" s="20">
        <f t="shared" si="19"/>
        <v>19</v>
      </c>
      <c r="D82" s="52">
        <f t="shared" si="20"/>
        <v>38</v>
      </c>
      <c r="E82" s="52">
        <f t="shared" si="24"/>
        <v>114</v>
      </c>
      <c r="F82" s="67">
        <f t="shared" si="15"/>
        <v>112</v>
      </c>
      <c r="G82" s="52">
        <f t="shared" si="16"/>
        <v>1702.5500000000002</v>
      </c>
      <c r="H82" s="52">
        <f t="shared" si="21"/>
        <v>5107.6500000000005</v>
      </c>
      <c r="I82" s="52">
        <f t="shared" si="22"/>
        <v>3405.1000000000004</v>
      </c>
      <c r="J82" s="69">
        <f t="shared" si="25"/>
        <v>92499.300000000017</v>
      </c>
      <c r="K82" s="70">
        <f t="shared" si="23"/>
        <v>64</v>
      </c>
      <c r="L82" s="132"/>
      <c r="M82" s="38">
        <f>Characters!$F$13+((Characters!$M$13 )*(Floor!$F82-1))</f>
        <v>6810</v>
      </c>
      <c r="N82" s="39">
        <f>Characters!$F$14+((Characters!$M$14 )*(Floor!F82-1))</f>
        <v>6810</v>
      </c>
      <c r="O82" s="39">
        <f>Characters!$F$15+((Characters!$M$15 )*(Floor!$F82-1))</f>
        <v>6810</v>
      </c>
      <c r="P82" s="39">
        <f>Characters!$F$16+((Characters!$M$16 )*(Floor!$F82-1))</f>
        <v>6810</v>
      </c>
      <c r="Q82" s="39">
        <f>Characters!$F$17+((Characters!$M$17)*(Floor!$F82-1))</f>
        <v>6810</v>
      </c>
      <c r="R82" s="39">
        <f>Characters!$F$18+((Characters!$M$18 )*(Floor!$F82-1))</f>
        <v>6810</v>
      </c>
      <c r="S82" s="33">
        <f>Characters!$F$19+((Characters!$M$19 )*(Floor!$F82-1))</f>
        <v>6810</v>
      </c>
      <c r="T82" s="38">
        <f>_xlfn.FLOOR.MATH((Characters!$J$13+Characters!$Q$13*(Floor!$F82-1))*5/2)</f>
        <v>852</v>
      </c>
      <c r="U82" s="39">
        <f>_xlfn.FLOOR.MATH((Characters!$J$14+Characters!$Q$14*(Floor!$F82-1))*5/2)</f>
        <v>852</v>
      </c>
      <c r="V82" s="39">
        <f>_xlfn.FLOOR.MATH((Characters!$J$15+Characters!$Q$15*(Floor!$F82-1))*5/2)</f>
        <v>852</v>
      </c>
      <c r="W82" s="39">
        <f>_xlfn.FLOOR.MATH((Characters!$J$16+Characters!$Q$16*(Floor!$F82-1))*5/2)</f>
        <v>852</v>
      </c>
      <c r="X82" s="39">
        <f>_xlfn.FLOOR.MATH((Characters!$J$17+Characters!$Q$17*(Floor!$F82-1))*5/2)</f>
        <v>852</v>
      </c>
      <c r="Y82" s="39">
        <f>_xlfn.FLOOR.MATH((Characters!$J$18+Characters!$Q$18*(Floor!$F82-1))*5/2)</f>
        <v>852</v>
      </c>
      <c r="Z82" s="39">
        <f>_xlfn.FLOOR.MATH((Characters!$J$19+Characters!$Q$19*(Floor!$F82-1))*5/2)</f>
        <v>852</v>
      </c>
      <c r="AA82" s="38">
        <f>_xlfn.FLOOR.MATH((Characters!$G$13+Characters!$N$13*(Floor!$F82-1))*10/2) + _xlfn.FLOOR.MATH((($AI82-1)*Characters!$P$13+Characters!$I$13)*5/2)</f>
        <v>788</v>
      </c>
      <c r="AB82" s="39">
        <f>_xlfn.FLOOR.MATH((Characters!$G$14+Characters!$N$14*(Floor!$F82-1))*10/2) + _xlfn.FLOOR.MATH((($AI82-1)*Characters!$P$14+Characters!$I$14)*5/2)</f>
        <v>788</v>
      </c>
      <c r="AC82" s="39">
        <f>_xlfn.FLOOR.MATH((Characters!$G$15+Characters!$N$15*(Floor!$F82-1))*10/2) + _xlfn.FLOOR.MATH((($AI82-1)*Characters!$P$15+Characters!$I$15)*5/2)</f>
        <v>788</v>
      </c>
      <c r="AD82" s="39">
        <f>_xlfn.FLOOR.MATH((Characters!$G$16+Characters!$N$16*(Floor!$F82-1))*10/2) + _xlfn.FLOOR.MATH((($AI82-1)*Characters!$P$16+Characters!$I$16)*5/2)</f>
        <v>788</v>
      </c>
      <c r="AE82" s="39">
        <f>_xlfn.FLOOR.MATH((Characters!$G$17+Characters!$N$17*(Floor!$F82-1))*10/2) + _xlfn.FLOOR.MATH((($AI82-1)*Characters!$P$17+Characters!$I$17)*5/2)</f>
        <v>788</v>
      </c>
      <c r="AF82" s="39">
        <f>_xlfn.FLOOR.MATH((Characters!$G$18+Characters!$N$18*(Floor!$F82-1))*10/2) + _xlfn.FLOOR.MATH((($AI82-1)*Characters!$P$18+Characters!$I$18)*5/2)</f>
        <v>788</v>
      </c>
      <c r="AG82" s="33">
        <f>_xlfn.FLOOR.MATH((Characters!$G$19+Characters!$N$19*(Floor!$F82-1))*10/2) + _xlfn.FLOOR.MATH((($AI82-1)*Characters!$P$19+Characters!$I$19)*5/2)</f>
        <v>788</v>
      </c>
      <c r="AH82" s="67"/>
      <c r="AI82" s="38">
        <v>75</v>
      </c>
      <c r="AJ82" s="71">
        <f t="shared" si="17"/>
        <v>5626.04</v>
      </c>
      <c r="AK82" s="105">
        <f t="shared" si="26"/>
        <v>143638.99999999997</v>
      </c>
      <c r="AL82" s="38">
        <f>_xlfn.FLOOR.MATH(($AI82-1)*Characters!$M$7+Characters!$F$7)+$AK$5</f>
        <v>6620</v>
      </c>
      <c r="AM82" s="39">
        <f>_xlfn.FLOOR.MATH(($AI82-1)*Characters!$M$8+Characters!$F$8)+$AK$5</f>
        <v>8150</v>
      </c>
      <c r="AN82" s="39">
        <f>_xlfn.FLOOR.MATH(($AI82-1)*Characters!$M$9+Characters!$F$9)+$AK$5</f>
        <v>6180</v>
      </c>
      <c r="AO82" s="39">
        <f>_xlfn.FLOOR.MATH(($AI82-1)*Characters!$M$10+Characters!$F$10)+$AK$5</f>
        <v>6950</v>
      </c>
      <c r="AP82" s="39">
        <f>_xlfn.FLOOR.MATH(($AI82-1)*Characters!$M$11+Characters!$F$11)+$AK$5</f>
        <v>6180</v>
      </c>
      <c r="AQ82" s="39">
        <f>_xlfn.FLOOR.MATH(($AI82-1)*Characters!$M$12+Characters!$F$12)+$AK$5</f>
        <v>7320</v>
      </c>
      <c r="AR82" s="38">
        <f>_xlfn.FLOOR.MATH((($AI82-1)*Characters!$Q$7+Characters!$J$7+$AK$4)*5/2)</f>
        <v>195</v>
      </c>
      <c r="AS82" s="39">
        <f>_xlfn.FLOOR.MATH((($AI82-1)*Characters!$Q$8+Characters!$J$8+$AK$4)*5/2)</f>
        <v>221</v>
      </c>
      <c r="AT82" s="39">
        <f>_xlfn.FLOOR.MATH((($AI82-1)*Characters!$Q$9+Characters!$J$9+$AK$4)*5/2)</f>
        <v>160</v>
      </c>
      <c r="AU82" s="39">
        <f>_xlfn.FLOOR.MATH((($AI82-1)*Characters!$Q$10+Characters!$J$10+$AK$4)*5/2)</f>
        <v>197</v>
      </c>
      <c r="AV82" s="39">
        <f>_xlfn.FLOOR.MATH((($AI82-1)*Characters!$Q$11+Characters!$J$11+$AK$4)*5/2)</f>
        <v>158</v>
      </c>
      <c r="AW82" s="39">
        <f>_xlfn.FLOOR.MATH((($AI82-1)*Characters!$Q$12+Characters!$J$12+$AK$4)*5/2)</f>
        <v>221</v>
      </c>
      <c r="AX82" s="38">
        <f>_xlfn.FLOOR.MATH((($AI82-1)*Characters!$N$7+Characters!$G$7+$AK$2)*10/2) + _xlfn.FLOOR.MATH((($AI82-1)*Characters!$P$7+Characters!$I$7+$AK$3)*5/2)</f>
        <v>315</v>
      </c>
      <c r="AY82" s="39">
        <f>_xlfn.FLOOR.MATH((($AI82-1)*Characters!$N$8+Characters!$G$8+$AK$2)*10/2) + _xlfn.FLOOR.MATH((($AI82-1)*Characters!$P$8+Characters!$I$8+$AK$3)*5/2)</f>
        <v>413</v>
      </c>
      <c r="AZ82" s="39">
        <f>_xlfn.FLOOR.MATH((($AI82-1)*Characters!$N$9+Characters!$G$9+$AK$2)*10/2) + _xlfn.FLOOR.MATH((($AI82-1)*Characters!$P$9+Characters!$I$9+$AK$3)*5/2)</f>
        <v>164</v>
      </c>
      <c r="BA82" s="39">
        <f>_xlfn.FLOOR.MATH((($AI82-1)*Characters!$N$10+Characters!$G$10+$AK$2)*10/2) + _xlfn.FLOOR.MATH((($AI82-1)*Characters!$P$10+Characters!$I$10+$AK$3)*5/2)</f>
        <v>484</v>
      </c>
      <c r="BB82" s="39">
        <f>_xlfn.FLOOR.MATH((($AI82-1)*Characters!$N$11+Characters!$G$11+$AK$2)*10/2) + _xlfn.FLOOR.MATH((($AI82-1)*Characters!$P$11+Characters!$I$11+$AK$3)*5/2)</f>
        <v>185</v>
      </c>
      <c r="BC82" s="33">
        <f>_xlfn.FLOOR.MATH((($AI82-1)*Characters!$N$12+Characters!$G$12+$AK$2)*10/2) + _xlfn.FLOOR.MATH((($AI82-1)*Characters!$P$12+Characters!$I$12+$AK$3)*5/2)</f>
        <v>450</v>
      </c>
    </row>
    <row r="83" spans="1:55" ht="18" customHeight="1">
      <c r="A83" s="38">
        <v>76</v>
      </c>
      <c r="B83" s="20">
        <f t="shared" si="18"/>
        <v>21</v>
      </c>
      <c r="C83" s="20">
        <f t="shared" si="19"/>
        <v>19</v>
      </c>
      <c r="D83" s="52">
        <f t="shared" si="20"/>
        <v>38</v>
      </c>
      <c r="E83" s="52">
        <f t="shared" si="24"/>
        <v>114</v>
      </c>
      <c r="F83" s="67">
        <f t="shared" si="15"/>
        <v>113</v>
      </c>
      <c r="G83" s="52">
        <f t="shared" si="16"/>
        <v>1717.7500000000002</v>
      </c>
      <c r="H83" s="52">
        <f t="shared" si="21"/>
        <v>5153.2500000000009</v>
      </c>
      <c r="I83" s="52">
        <f t="shared" si="22"/>
        <v>3435.5000000000005</v>
      </c>
      <c r="J83" s="69">
        <f t="shared" si="25"/>
        <v>95934.800000000017</v>
      </c>
      <c r="K83" s="70">
        <f t="shared" si="23"/>
        <v>65</v>
      </c>
      <c r="L83" s="132"/>
      <c r="M83" s="38">
        <f>Characters!$F$13+((Characters!$M$13 )*(Floor!$F83-1))</f>
        <v>6870</v>
      </c>
      <c r="N83" s="39">
        <f>Characters!$F$14+((Characters!$M$14 )*(Floor!F83-1))</f>
        <v>6870</v>
      </c>
      <c r="O83" s="39">
        <f>Characters!$F$15+((Characters!$M$15 )*(Floor!$F83-1))</f>
        <v>6870</v>
      </c>
      <c r="P83" s="39">
        <f>Characters!$F$16+((Characters!$M$16 )*(Floor!$F83-1))</f>
        <v>6870</v>
      </c>
      <c r="Q83" s="39">
        <f>Characters!$F$17+((Characters!$M$17)*(Floor!$F83-1))</f>
        <v>6870</v>
      </c>
      <c r="R83" s="39">
        <f>Characters!$F$18+((Characters!$M$18 )*(Floor!$F83-1))</f>
        <v>6870</v>
      </c>
      <c r="S83" s="33">
        <f>Characters!$F$19+((Characters!$M$19 )*(Floor!$F83-1))</f>
        <v>6870</v>
      </c>
      <c r="T83" s="38">
        <f>_xlfn.FLOOR.MATH((Characters!$J$13+Characters!$Q$13*(Floor!$F83-1))*5/2)</f>
        <v>860</v>
      </c>
      <c r="U83" s="39">
        <f>_xlfn.FLOOR.MATH((Characters!$J$14+Characters!$Q$14*(Floor!$F83-1))*5/2)</f>
        <v>860</v>
      </c>
      <c r="V83" s="39">
        <f>_xlfn.FLOOR.MATH((Characters!$J$15+Characters!$Q$15*(Floor!$F83-1))*5/2)</f>
        <v>860</v>
      </c>
      <c r="W83" s="39">
        <f>_xlfn.FLOOR.MATH((Characters!$J$16+Characters!$Q$16*(Floor!$F83-1))*5/2)</f>
        <v>860</v>
      </c>
      <c r="X83" s="39">
        <f>_xlfn.FLOOR.MATH((Characters!$J$17+Characters!$Q$17*(Floor!$F83-1))*5/2)</f>
        <v>860</v>
      </c>
      <c r="Y83" s="39">
        <f>_xlfn.FLOOR.MATH((Characters!$J$18+Characters!$Q$18*(Floor!$F83-1))*5/2)</f>
        <v>860</v>
      </c>
      <c r="Z83" s="39">
        <f>_xlfn.FLOOR.MATH((Characters!$J$19+Characters!$Q$19*(Floor!$F83-1))*5/2)</f>
        <v>860</v>
      </c>
      <c r="AA83" s="38">
        <f>_xlfn.FLOOR.MATH((Characters!$G$13+Characters!$N$13*(Floor!$F83-1))*10/2) + _xlfn.FLOOR.MATH((($AI83-1)*Characters!$P$13+Characters!$I$13)*5/2)</f>
        <v>795</v>
      </c>
      <c r="AB83" s="39">
        <f>_xlfn.FLOOR.MATH((Characters!$G$14+Characters!$N$14*(Floor!$F83-1))*10/2) + _xlfn.FLOOR.MATH((($AI83-1)*Characters!$P$14+Characters!$I$14)*5/2)</f>
        <v>795</v>
      </c>
      <c r="AC83" s="39">
        <f>_xlfn.FLOOR.MATH((Characters!$G$15+Characters!$N$15*(Floor!$F83-1))*10/2) + _xlfn.FLOOR.MATH((($AI83-1)*Characters!$P$15+Characters!$I$15)*5/2)</f>
        <v>795</v>
      </c>
      <c r="AD83" s="39">
        <f>_xlfn.FLOOR.MATH((Characters!$G$16+Characters!$N$16*(Floor!$F83-1))*10/2) + _xlfn.FLOOR.MATH((($AI83-1)*Characters!$P$16+Characters!$I$16)*5/2)</f>
        <v>795</v>
      </c>
      <c r="AE83" s="39">
        <f>_xlfn.FLOOR.MATH((Characters!$G$17+Characters!$N$17*(Floor!$F83-1))*10/2) + _xlfn.FLOOR.MATH((($AI83-1)*Characters!$P$17+Characters!$I$17)*5/2)</f>
        <v>795</v>
      </c>
      <c r="AF83" s="39">
        <f>_xlfn.FLOOR.MATH((Characters!$G$18+Characters!$N$18*(Floor!$F83-1))*10/2) + _xlfn.FLOOR.MATH((($AI83-1)*Characters!$P$18+Characters!$I$18)*5/2)</f>
        <v>795</v>
      </c>
      <c r="AG83" s="33">
        <f>_xlfn.FLOOR.MATH((Characters!$G$19+Characters!$N$19*(Floor!$F83-1))*10/2) + _xlfn.FLOOR.MATH((($AI83-1)*Characters!$P$19+Characters!$I$19)*5/2)</f>
        <v>795</v>
      </c>
      <c r="AH83" s="67"/>
      <c r="AI83" s="38">
        <v>76</v>
      </c>
      <c r="AJ83" s="71">
        <f t="shared" si="17"/>
        <v>5777</v>
      </c>
      <c r="AK83" s="105">
        <f t="shared" si="26"/>
        <v>149415.99999999997</v>
      </c>
      <c r="AL83" s="38">
        <f>_xlfn.FLOOR.MATH(($AI83-1)*Characters!$M$7+Characters!$F$7)+$AK$5</f>
        <v>6650</v>
      </c>
      <c r="AM83" s="39">
        <f>_xlfn.FLOOR.MATH(($AI83-1)*Characters!$M$8+Characters!$F$8)+$AK$5</f>
        <v>8200</v>
      </c>
      <c r="AN83" s="39">
        <f>_xlfn.FLOOR.MATH(($AI83-1)*Characters!$M$9+Characters!$F$9)+$AK$5</f>
        <v>6205</v>
      </c>
      <c r="AO83" s="39">
        <f>_xlfn.FLOOR.MATH(($AI83-1)*Characters!$M$10+Characters!$F$10)+$AK$5</f>
        <v>6985</v>
      </c>
      <c r="AP83" s="39">
        <f>_xlfn.FLOOR.MATH(($AI83-1)*Characters!$M$11+Characters!$F$11)+$AK$5</f>
        <v>6205</v>
      </c>
      <c r="AQ83" s="39">
        <f>_xlfn.FLOOR.MATH(($AI83-1)*Characters!$M$12+Characters!$F$12)+$AK$5</f>
        <v>7360</v>
      </c>
      <c r="AR83" s="38">
        <f>_xlfn.FLOOR.MATH((($AI83-1)*Characters!$Q$7+Characters!$J$7+$AK$4)*5/2)</f>
        <v>196</v>
      </c>
      <c r="AS83" s="39">
        <f>_xlfn.FLOOR.MATH((($AI83-1)*Characters!$Q$8+Characters!$J$8+$AK$4)*5/2)</f>
        <v>222</v>
      </c>
      <c r="AT83" s="39">
        <f>_xlfn.FLOOR.MATH((($AI83-1)*Characters!$Q$9+Characters!$J$9+$AK$4)*5/2)</f>
        <v>161</v>
      </c>
      <c r="AU83" s="39">
        <f>_xlfn.FLOOR.MATH((($AI83-1)*Characters!$Q$10+Characters!$J$10+$AK$4)*5/2)</f>
        <v>198</v>
      </c>
      <c r="AV83" s="39">
        <f>_xlfn.FLOOR.MATH((($AI83-1)*Characters!$Q$11+Characters!$J$11+$AK$4)*5/2)</f>
        <v>158</v>
      </c>
      <c r="AW83" s="39">
        <f>_xlfn.FLOOR.MATH((($AI83-1)*Characters!$Q$12+Characters!$J$12+$AK$4)*5/2)</f>
        <v>222</v>
      </c>
      <c r="AX83" s="38">
        <f>_xlfn.FLOOR.MATH((($AI83-1)*Characters!$N$7+Characters!$G$7+$AK$2)*10/2) + _xlfn.FLOOR.MATH((($AI83-1)*Characters!$P$7+Characters!$I$7+$AK$3)*5/2)</f>
        <v>318</v>
      </c>
      <c r="AY83" s="39">
        <f>_xlfn.FLOOR.MATH((($AI83-1)*Characters!$N$8+Characters!$G$8+$AK$2)*10/2) + _xlfn.FLOOR.MATH((($AI83-1)*Characters!$P$8+Characters!$I$8+$AK$3)*5/2)</f>
        <v>417</v>
      </c>
      <c r="AZ83" s="39">
        <f>_xlfn.FLOOR.MATH((($AI83-1)*Characters!$N$9+Characters!$G$9+$AK$2)*10/2) + _xlfn.FLOOR.MATH((($AI83-1)*Characters!$P$9+Characters!$I$9+$AK$3)*5/2)</f>
        <v>166</v>
      </c>
      <c r="BA83" s="39">
        <f>_xlfn.FLOOR.MATH((($AI83-1)*Characters!$N$10+Characters!$G$10+$AK$2)*10/2) + _xlfn.FLOOR.MATH((($AI83-1)*Characters!$P$10+Characters!$I$10+$AK$3)*5/2)</f>
        <v>489</v>
      </c>
      <c r="BB83" s="39">
        <f>_xlfn.FLOOR.MATH((($AI83-1)*Characters!$N$11+Characters!$G$11+$AK$2)*10/2) + _xlfn.FLOOR.MATH((($AI83-1)*Characters!$P$11+Characters!$I$11+$AK$3)*5/2)</f>
        <v>187</v>
      </c>
      <c r="BC83" s="33">
        <f>_xlfn.FLOOR.MATH((($AI83-1)*Characters!$N$12+Characters!$G$12+$AK$2)*10/2) + _xlfn.FLOOR.MATH((($AI83-1)*Characters!$P$12+Characters!$I$12+$AK$3)*5/2)</f>
        <v>455</v>
      </c>
    </row>
    <row r="84" spans="1:55" ht="18" customHeight="1">
      <c r="A84" s="38">
        <v>77</v>
      </c>
      <c r="B84" s="20">
        <f t="shared" si="18"/>
        <v>21</v>
      </c>
      <c r="C84" s="20">
        <f t="shared" si="19"/>
        <v>19</v>
      </c>
      <c r="D84" s="52">
        <f t="shared" si="20"/>
        <v>38</v>
      </c>
      <c r="E84" s="52">
        <f t="shared" si="24"/>
        <v>114</v>
      </c>
      <c r="F84" s="67">
        <f t="shared" si="15"/>
        <v>115</v>
      </c>
      <c r="G84" s="52">
        <f t="shared" si="16"/>
        <v>1748.15</v>
      </c>
      <c r="H84" s="52">
        <f t="shared" si="21"/>
        <v>5244.45</v>
      </c>
      <c r="I84" s="52">
        <f t="shared" si="22"/>
        <v>3496.3</v>
      </c>
      <c r="J84" s="69">
        <f t="shared" si="25"/>
        <v>99431.10000000002</v>
      </c>
      <c r="K84" s="70">
        <f t="shared" si="23"/>
        <v>66</v>
      </c>
      <c r="L84" s="132"/>
      <c r="M84" s="38">
        <f>Characters!$F$13+((Characters!$M$13 )*(Floor!$F84-1))</f>
        <v>6990</v>
      </c>
      <c r="N84" s="39">
        <f>Characters!$F$14+((Characters!$M$14 )*(Floor!F84-1))</f>
        <v>6990</v>
      </c>
      <c r="O84" s="39">
        <f>Characters!$F$15+((Characters!$M$15 )*(Floor!$F84-1))</f>
        <v>6990</v>
      </c>
      <c r="P84" s="39">
        <f>Characters!$F$16+((Characters!$M$16 )*(Floor!$F84-1))</f>
        <v>6990</v>
      </c>
      <c r="Q84" s="39">
        <f>Characters!$F$17+((Characters!$M$17)*(Floor!$F84-1))</f>
        <v>6990</v>
      </c>
      <c r="R84" s="39">
        <f>Characters!$F$18+((Characters!$M$18 )*(Floor!$F84-1))</f>
        <v>6990</v>
      </c>
      <c r="S84" s="33">
        <f>Characters!$F$19+((Characters!$M$19 )*(Floor!$F84-1))</f>
        <v>6990</v>
      </c>
      <c r="T84" s="38">
        <f>_xlfn.FLOOR.MATH((Characters!$J$13+Characters!$Q$13*(Floor!$F84-1))*5/2)</f>
        <v>875</v>
      </c>
      <c r="U84" s="39">
        <f>_xlfn.FLOOR.MATH((Characters!$J$14+Characters!$Q$14*(Floor!$F84-1))*5/2)</f>
        <v>875</v>
      </c>
      <c r="V84" s="39">
        <f>_xlfn.FLOOR.MATH((Characters!$J$15+Characters!$Q$15*(Floor!$F84-1))*5/2)</f>
        <v>875</v>
      </c>
      <c r="W84" s="39">
        <f>_xlfn.FLOOR.MATH((Characters!$J$16+Characters!$Q$16*(Floor!$F84-1))*5/2)</f>
        <v>875</v>
      </c>
      <c r="X84" s="39">
        <f>_xlfn.FLOOR.MATH((Characters!$J$17+Characters!$Q$17*(Floor!$F84-1))*5/2)</f>
        <v>875</v>
      </c>
      <c r="Y84" s="39">
        <f>_xlfn.FLOOR.MATH((Characters!$J$18+Characters!$Q$18*(Floor!$F84-1))*5/2)</f>
        <v>875</v>
      </c>
      <c r="Z84" s="39">
        <f>_xlfn.FLOOR.MATH((Characters!$J$19+Characters!$Q$19*(Floor!$F84-1))*5/2)</f>
        <v>875</v>
      </c>
      <c r="AA84" s="38">
        <f>_xlfn.FLOOR.MATH((Characters!$G$13+Characters!$N$13*(Floor!$F84-1))*10/2) + _xlfn.FLOOR.MATH((($AI84-1)*Characters!$P$13+Characters!$I$13)*5/2)</f>
        <v>809</v>
      </c>
      <c r="AB84" s="39">
        <f>_xlfn.FLOOR.MATH((Characters!$G$14+Characters!$N$14*(Floor!$F84-1))*10/2) + _xlfn.FLOOR.MATH((($AI84-1)*Characters!$P$14+Characters!$I$14)*5/2)</f>
        <v>809</v>
      </c>
      <c r="AC84" s="39">
        <f>_xlfn.FLOOR.MATH((Characters!$G$15+Characters!$N$15*(Floor!$F84-1))*10/2) + _xlfn.FLOOR.MATH((($AI84-1)*Characters!$P$15+Characters!$I$15)*5/2)</f>
        <v>809</v>
      </c>
      <c r="AD84" s="39">
        <f>_xlfn.FLOOR.MATH((Characters!$G$16+Characters!$N$16*(Floor!$F84-1))*10/2) + _xlfn.FLOOR.MATH((($AI84-1)*Characters!$P$16+Characters!$I$16)*5/2)</f>
        <v>809</v>
      </c>
      <c r="AE84" s="39">
        <f>_xlfn.FLOOR.MATH((Characters!$G$17+Characters!$N$17*(Floor!$F84-1))*10/2) + _xlfn.FLOOR.MATH((($AI84-1)*Characters!$P$17+Characters!$I$17)*5/2)</f>
        <v>809</v>
      </c>
      <c r="AF84" s="39">
        <f>_xlfn.FLOOR.MATH((Characters!$G$18+Characters!$N$18*(Floor!$F84-1))*10/2) + _xlfn.FLOOR.MATH((($AI84-1)*Characters!$P$18+Characters!$I$18)*5/2)</f>
        <v>809</v>
      </c>
      <c r="AG84" s="33">
        <f>_xlfn.FLOOR.MATH((Characters!$G$19+Characters!$N$19*(Floor!$F84-1))*10/2) + _xlfn.FLOOR.MATH((($AI84-1)*Characters!$P$19+Characters!$I$19)*5/2)</f>
        <v>809</v>
      </c>
      <c r="AH84" s="67"/>
      <c r="AI84" s="38">
        <v>77</v>
      </c>
      <c r="AJ84" s="71">
        <f t="shared" si="17"/>
        <v>5929.96</v>
      </c>
      <c r="AK84" s="105">
        <f t="shared" si="26"/>
        <v>155345.95999999996</v>
      </c>
      <c r="AL84" s="38">
        <f>_xlfn.FLOOR.MATH(($AI84-1)*Characters!$M$7+Characters!$F$7)+$AK$5</f>
        <v>6680</v>
      </c>
      <c r="AM84" s="39">
        <f>_xlfn.FLOOR.MATH(($AI84-1)*Characters!$M$8+Characters!$F$8)+$AK$5</f>
        <v>8250</v>
      </c>
      <c r="AN84" s="39">
        <f>_xlfn.FLOOR.MATH(($AI84-1)*Characters!$M$9+Characters!$F$9)+$AK$5</f>
        <v>6230</v>
      </c>
      <c r="AO84" s="39">
        <f>_xlfn.FLOOR.MATH(($AI84-1)*Characters!$M$10+Characters!$F$10)+$AK$5</f>
        <v>7020</v>
      </c>
      <c r="AP84" s="39">
        <f>_xlfn.FLOOR.MATH(($AI84-1)*Characters!$M$11+Characters!$F$11)+$AK$5</f>
        <v>6230</v>
      </c>
      <c r="AQ84" s="39">
        <f>_xlfn.FLOOR.MATH(($AI84-1)*Characters!$M$12+Characters!$F$12)+$AK$5</f>
        <v>7400</v>
      </c>
      <c r="AR84" s="38">
        <f>_xlfn.FLOOR.MATH((($AI84-1)*Characters!$Q$7+Characters!$J$7+$AK$4)*5/2)</f>
        <v>197</v>
      </c>
      <c r="AS84" s="39">
        <f>_xlfn.FLOOR.MATH((($AI84-1)*Characters!$Q$8+Characters!$J$8+$AK$4)*5/2)</f>
        <v>224</v>
      </c>
      <c r="AT84" s="39">
        <f>_xlfn.FLOOR.MATH((($AI84-1)*Characters!$Q$9+Characters!$J$9+$AK$4)*5/2)</f>
        <v>162</v>
      </c>
      <c r="AU84" s="39">
        <f>_xlfn.FLOOR.MATH((($AI84-1)*Characters!$Q$10+Characters!$J$10+$AK$4)*5/2)</f>
        <v>200</v>
      </c>
      <c r="AV84" s="39">
        <f>_xlfn.FLOOR.MATH((($AI84-1)*Characters!$Q$11+Characters!$J$11+$AK$4)*5/2)</f>
        <v>159</v>
      </c>
      <c r="AW84" s="39">
        <f>_xlfn.FLOOR.MATH((($AI84-1)*Characters!$Q$12+Characters!$J$12+$AK$4)*5/2)</f>
        <v>224</v>
      </c>
      <c r="AX84" s="38">
        <f>_xlfn.FLOOR.MATH((($AI84-1)*Characters!$N$7+Characters!$G$7+$AK$2)*10/2) + _xlfn.FLOOR.MATH((($AI84-1)*Characters!$P$7+Characters!$I$7+$AK$3)*5/2)</f>
        <v>322</v>
      </c>
      <c r="AY84" s="39">
        <f>_xlfn.FLOOR.MATH((($AI84-1)*Characters!$N$8+Characters!$G$8+$AK$2)*10/2) + _xlfn.FLOOR.MATH((($AI84-1)*Characters!$P$8+Characters!$I$8+$AK$3)*5/2)</f>
        <v>422</v>
      </c>
      <c r="AZ84" s="39">
        <f>_xlfn.FLOOR.MATH((($AI84-1)*Characters!$N$9+Characters!$G$9+$AK$2)*10/2) + _xlfn.FLOOR.MATH((($AI84-1)*Characters!$P$9+Characters!$I$9+$AK$3)*5/2)</f>
        <v>168</v>
      </c>
      <c r="BA84" s="39">
        <f>_xlfn.FLOOR.MATH((($AI84-1)*Characters!$N$10+Characters!$G$10+$AK$2)*10/2) + _xlfn.FLOOR.MATH((($AI84-1)*Characters!$P$10+Characters!$I$10+$AK$3)*5/2)</f>
        <v>495</v>
      </c>
      <c r="BB84" s="39">
        <f>_xlfn.FLOOR.MATH((($AI84-1)*Characters!$N$11+Characters!$G$11+$AK$2)*10/2) + _xlfn.FLOOR.MATH((($AI84-1)*Characters!$P$11+Characters!$I$11+$AK$3)*5/2)</f>
        <v>189</v>
      </c>
      <c r="BC84" s="33">
        <f>_xlfn.FLOOR.MATH((($AI84-1)*Characters!$N$12+Characters!$G$12+$AK$2)*10/2) + _xlfn.FLOOR.MATH((($AI84-1)*Characters!$P$12+Characters!$I$12+$AK$3)*5/2)</f>
        <v>460</v>
      </c>
    </row>
    <row r="85" spans="1:55" ht="18" customHeight="1">
      <c r="A85" s="38">
        <v>78</v>
      </c>
      <c r="B85" s="20">
        <f t="shared" si="18"/>
        <v>21</v>
      </c>
      <c r="C85" s="20">
        <f t="shared" si="19"/>
        <v>19</v>
      </c>
      <c r="D85" s="52">
        <f t="shared" si="20"/>
        <v>38</v>
      </c>
      <c r="E85" s="52">
        <f t="shared" si="24"/>
        <v>114</v>
      </c>
      <c r="F85" s="67">
        <f t="shared" si="15"/>
        <v>116</v>
      </c>
      <c r="G85" s="52">
        <f t="shared" si="16"/>
        <v>1763.3500000000004</v>
      </c>
      <c r="H85" s="52">
        <f t="shared" si="21"/>
        <v>5290.0500000000011</v>
      </c>
      <c r="I85" s="52">
        <f t="shared" si="22"/>
        <v>3526.7000000000007</v>
      </c>
      <c r="J85" s="69">
        <f t="shared" si="25"/>
        <v>102957.80000000002</v>
      </c>
      <c r="K85" s="70">
        <f t="shared" si="23"/>
        <v>67</v>
      </c>
      <c r="L85" s="132"/>
      <c r="M85" s="38">
        <f>Characters!$F$13+((Characters!$M$13 )*(Floor!$F85-1))</f>
        <v>7050</v>
      </c>
      <c r="N85" s="39">
        <f>Characters!$F$14+((Characters!$M$14 )*(Floor!F85-1))</f>
        <v>7050</v>
      </c>
      <c r="O85" s="39">
        <f>Characters!$F$15+((Characters!$M$15 )*(Floor!$F85-1))</f>
        <v>7050</v>
      </c>
      <c r="P85" s="39">
        <f>Characters!$F$16+((Characters!$M$16 )*(Floor!$F85-1))</f>
        <v>7050</v>
      </c>
      <c r="Q85" s="39">
        <f>Characters!$F$17+((Characters!$M$17)*(Floor!$F85-1))</f>
        <v>7050</v>
      </c>
      <c r="R85" s="39">
        <f>Characters!$F$18+((Characters!$M$18 )*(Floor!$F85-1))</f>
        <v>7050</v>
      </c>
      <c r="S85" s="33">
        <f>Characters!$F$19+((Characters!$M$19 )*(Floor!$F85-1))</f>
        <v>7050</v>
      </c>
      <c r="T85" s="38">
        <f>_xlfn.FLOOR.MATH((Characters!$J$13+Characters!$Q$13*(Floor!$F85-1))*5/2)</f>
        <v>882</v>
      </c>
      <c r="U85" s="39">
        <f>_xlfn.FLOOR.MATH((Characters!$J$14+Characters!$Q$14*(Floor!$F85-1))*5/2)</f>
        <v>882</v>
      </c>
      <c r="V85" s="39">
        <f>_xlfn.FLOOR.MATH((Characters!$J$15+Characters!$Q$15*(Floor!$F85-1))*5/2)</f>
        <v>882</v>
      </c>
      <c r="W85" s="39">
        <f>_xlfn.FLOOR.MATH((Characters!$J$16+Characters!$Q$16*(Floor!$F85-1))*5/2)</f>
        <v>882</v>
      </c>
      <c r="X85" s="39">
        <f>_xlfn.FLOOR.MATH((Characters!$J$17+Characters!$Q$17*(Floor!$F85-1))*5/2)</f>
        <v>882</v>
      </c>
      <c r="Y85" s="39">
        <f>_xlfn.FLOOR.MATH((Characters!$J$18+Characters!$Q$18*(Floor!$F85-1))*5/2)</f>
        <v>882</v>
      </c>
      <c r="Z85" s="39">
        <f>_xlfn.FLOOR.MATH((Characters!$J$19+Characters!$Q$19*(Floor!$F85-1))*5/2)</f>
        <v>882</v>
      </c>
      <c r="AA85" s="38">
        <f>_xlfn.FLOOR.MATH((Characters!$G$13+Characters!$N$13*(Floor!$F85-1))*10/2) + _xlfn.FLOOR.MATH((($AI85-1)*Characters!$P$13+Characters!$I$13)*5/2)</f>
        <v>816</v>
      </c>
      <c r="AB85" s="39">
        <f>_xlfn.FLOOR.MATH((Characters!$G$14+Characters!$N$14*(Floor!$F85-1))*10/2) + _xlfn.FLOOR.MATH((($AI85-1)*Characters!$P$14+Characters!$I$14)*5/2)</f>
        <v>816</v>
      </c>
      <c r="AC85" s="39">
        <f>_xlfn.FLOOR.MATH((Characters!$G$15+Characters!$N$15*(Floor!$F85-1))*10/2) + _xlfn.FLOOR.MATH((($AI85-1)*Characters!$P$15+Characters!$I$15)*5/2)</f>
        <v>816</v>
      </c>
      <c r="AD85" s="39">
        <f>_xlfn.FLOOR.MATH((Characters!$G$16+Characters!$N$16*(Floor!$F85-1))*10/2) + _xlfn.FLOOR.MATH((($AI85-1)*Characters!$P$16+Characters!$I$16)*5/2)</f>
        <v>816</v>
      </c>
      <c r="AE85" s="39">
        <f>_xlfn.FLOOR.MATH((Characters!$G$17+Characters!$N$17*(Floor!$F85-1))*10/2) + _xlfn.FLOOR.MATH((($AI85-1)*Characters!$P$17+Characters!$I$17)*5/2)</f>
        <v>816</v>
      </c>
      <c r="AF85" s="39">
        <f>_xlfn.FLOOR.MATH((Characters!$G$18+Characters!$N$18*(Floor!$F85-1))*10/2) + _xlfn.FLOOR.MATH((($AI85-1)*Characters!$P$18+Characters!$I$18)*5/2)</f>
        <v>816</v>
      </c>
      <c r="AG85" s="33">
        <f>_xlfn.FLOOR.MATH((Characters!$G$19+Characters!$N$19*(Floor!$F85-1))*10/2) + _xlfn.FLOOR.MATH((($AI85-1)*Characters!$P$19+Characters!$I$19)*5/2)</f>
        <v>816</v>
      </c>
      <c r="AH85" s="67"/>
      <c r="AI85" s="38">
        <v>78</v>
      </c>
      <c r="AJ85" s="71">
        <f t="shared" si="17"/>
        <v>6084.92</v>
      </c>
      <c r="AK85" s="105">
        <f t="shared" si="26"/>
        <v>161430.87999999998</v>
      </c>
      <c r="AL85" s="38">
        <f>_xlfn.FLOOR.MATH(($AI85-1)*Characters!$M$7+Characters!$F$7)+$AK$5</f>
        <v>6710</v>
      </c>
      <c r="AM85" s="39">
        <f>_xlfn.FLOOR.MATH(($AI85-1)*Characters!$M$8+Characters!$F$8)+$AK$5</f>
        <v>8300</v>
      </c>
      <c r="AN85" s="39">
        <f>_xlfn.FLOOR.MATH(($AI85-1)*Characters!$M$9+Characters!$F$9)+$AK$5</f>
        <v>6255</v>
      </c>
      <c r="AO85" s="39">
        <f>_xlfn.FLOOR.MATH(($AI85-1)*Characters!$M$10+Characters!$F$10)+$AK$5</f>
        <v>7055</v>
      </c>
      <c r="AP85" s="39">
        <f>_xlfn.FLOOR.MATH(($AI85-1)*Characters!$M$11+Characters!$F$11)+$AK$5</f>
        <v>6255</v>
      </c>
      <c r="AQ85" s="39">
        <f>_xlfn.FLOOR.MATH(($AI85-1)*Characters!$M$12+Characters!$F$12)+$AK$5</f>
        <v>7440</v>
      </c>
      <c r="AR85" s="38">
        <f>_xlfn.FLOOR.MATH((($AI85-1)*Characters!$Q$7+Characters!$J$7+$AK$4)*5/2)</f>
        <v>198</v>
      </c>
      <c r="AS85" s="39">
        <f>_xlfn.FLOOR.MATH((($AI85-1)*Characters!$Q$8+Characters!$J$8+$AK$4)*5/2)</f>
        <v>225</v>
      </c>
      <c r="AT85" s="39">
        <f>_xlfn.FLOOR.MATH((($AI85-1)*Characters!$Q$9+Characters!$J$9+$AK$4)*5/2)</f>
        <v>162</v>
      </c>
      <c r="AU85" s="39">
        <f>_xlfn.FLOOR.MATH((($AI85-1)*Characters!$Q$10+Characters!$J$10+$AK$4)*5/2)</f>
        <v>201</v>
      </c>
      <c r="AV85" s="39">
        <f>_xlfn.FLOOR.MATH((($AI85-1)*Characters!$Q$11+Characters!$J$11+$AK$4)*5/2)</f>
        <v>160</v>
      </c>
      <c r="AW85" s="39">
        <f>_xlfn.FLOOR.MATH((($AI85-1)*Characters!$Q$12+Characters!$J$12+$AK$4)*5/2)</f>
        <v>225</v>
      </c>
      <c r="AX85" s="38">
        <f>_xlfn.FLOOR.MATH((($AI85-1)*Characters!$N$7+Characters!$G$7+$AK$2)*10/2) + _xlfn.FLOOR.MATH((($AI85-1)*Characters!$P$7+Characters!$I$7+$AK$3)*5/2)</f>
        <v>325</v>
      </c>
      <c r="AY85" s="39">
        <f>_xlfn.FLOOR.MATH((($AI85-1)*Characters!$N$8+Characters!$G$8+$AK$2)*10/2) + _xlfn.FLOOR.MATH((($AI85-1)*Characters!$P$8+Characters!$I$8+$AK$3)*5/2)</f>
        <v>426</v>
      </c>
      <c r="AZ85" s="39">
        <f>_xlfn.FLOOR.MATH((($AI85-1)*Characters!$N$9+Characters!$G$9+$AK$2)*10/2) + _xlfn.FLOOR.MATH((($AI85-1)*Characters!$P$9+Characters!$I$9+$AK$3)*5/2)</f>
        <v>169</v>
      </c>
      <c r="BA85" s="39">
        <f>_xlfn.FLOOR.MATH((($AI85-1)*Characters!$N$10+Characters!$G$10+$AK$2)*10/2) + _xlfn.FLOOR.MATH((($AI85-1)*Characters!$P$10+Characters!$I$10+$AK$3)*5/2)</f>
        <v>500</v>
      </c>
      <c r="BB85" s="39">
        <f>_xlfn.FLOOR.MATH((($AI85-1)*Characters!$N$11+Characters!$G$11+$AK$2)*10/2) + _xlfn.FLOOR.MATH((($AI85-1)*Characters!$P$11+Characters!$I$11+$AK$3)*5/2)</f>
        <v>191</v>
      </c>
      <c r="BC85" s="33">
        <f>_xlfn.FLOOR.MATH((($AI85-1)*Characters!$N$12+Characters!$G$12+$AK$2)*10/2) + _xlfn.FLOOR.MATH((($AI85-1)*Characters!$P$12+Characters!$I$12+$AK$3)*5/2)</f>
        <v>465</v>
      </c>
    </row>
    <row r="86" spans="1:55" ht="18" customHeight="1">
      <c r="A86" s="38">
        <v>79</v>
      </c>
      <c r="B86" s="20">
        <f t="shared" si="18"/>
        <v>21</v>
      </c>
      <c r="C86" s="20">
        <f t="shared" si="19"/>
        <v>19</v>
      </c>
      <c r="D86" s="52">
        <f t="shared" si="20"/>
        <v>38</v>
      </c>
      <c r="E86" s="52">
        <f t="shared" si="24"/>
        <v>114</v>
      </c>
      <c r="F86" s="67">
        <f t="shared" si="15"/>
        <v>118</v>
      </c>
      <c r="G86" s="52">
        <f t="shared" si="16"/>
        <v>1793.7500000000002</v>
      </c>
      <c r="H86" s="52">
        <f t="shared" si="21"/>
        <v>5381.2500000000009</v>
      </c>
      <c r="I86" s="52">
        <f t="shared" si="22"/>
        <v>3587.5000000000005</v>
      </c>
      <c r="J86" s="69">
        <f t="shared" si="25"/>
        <v>106545.30000000002</v>
      </c>
      <c r="K86" s="70">
        <f t="shared" si="23"/>
        <v>67</v>
      </c>
      <c r="L86" s="132"/>
      <c r="M86" s="38">
        <f>Characters!$F$13+((Characters!$M$13 )*(Floor!$F86-1))</f>
        <v>7170</v>
      </c>
      <c r="N86" s="39">
        <f>Characters!$F$14+((Characters!$M$14 )*(Floor!F86-1))</f>
        <v>7170</v>
      </c>
      <c r="O86" s="39">
        <f>Characters!$F$15+((Characters!$M$15 )*(Floor!$F86-1))</f>
        <v>7170</v>
      </c>
      <c r="P86" s="39">
        <f>Characters!$F$16+((Characters!$M$16 )*(Floor!$F86-1))</f>
        <v>7170</v>
      </c>
      <c r="Q86" s="39">
        <f>Characters!$F$17+((Characters!$M$17)*(Floor!$F86-1))</f>
        <v>7170</v>
      </c>
      <c r="R86" s="39">
        <f>Characters!$F$18+((Characters!$M$18 )*(Floor!$F86-1))</f>
        <v>7170</v>
      </c>
      <c r="S86" s="33">
        <f>Characters!$F$19+((Characters!$M$19 )*(Floor!$F86-1))</f>
        <v>7170</v>
      </c>
      <c r="T86" s="38">
        <f>_xlfn.FLOOR.MATH((Characters!$J$13+Characters!$Q$13*(Floor!$F86-1))*5/2)</f>
        <v>897</v>
      </c>
      <c r="U86" s="39">
        <f>_xlfn.FLOOR.MATH((Characters!$J$14+Characters!$Q$14*(Floor!$F86-1))*5/2)</f>
        <v>897</v>
      </c>
      <c r="V86" s="39">
        <f>_xlfn.FLOOR.MATH((Characters!$J$15+Characters!$Q$15*(Floor!$F86-1))*5/2)</f>
        <v>897</v>
      </c>
      <c r="W86" s="39">
        <f>_xlfn.FLOOR.MATH((Characters!$J$16+Characters!$Q$16*(Floor!$F86-1))*5/2)</f>
        <v>897</v>
      </c>
      <c r="X86" s="39">
        <f>_xlfn.FLOOR.MATH((Characters!$J$17+Characters!$Q$17*(Floor!$F86-1))*5/2)</f>
        <v>897</v>
      </c>
      <c r="Y86" s="39">
        <f>_xlfn.FLOOR.MATH((Characters!$J$18+Characters!$Q$18*(Floor!$F86-1))*5/2)</f>
        <v>897</v>
      </c>
      <c r="Z86" s="39">
        <f>_xlfn.FLOOR.MATH((Characters!$J$19+Characters!$Q$19*(Floor!$F86-1))*5/2)</f>
        <v>897</v>
      </c>
      <c r="AA86" s="38">
        <f>_xlfn.FLOOR.MATH((Characters!$G$13+Characters!$N$13*(Floor!$F86-1))*10/2) + _xlfn.FLOOR.MATH((($AI86-1)*Characters!$P$13+Characters!$I$13)*5/2)</f>
        <v>829</v>
      </c>
      <c r="AB86" s="39">
        <f>_xlfn.FLOOR.MATH((Characters!$G$14+Characters!$N$14*(Floor!$F86-1))*10/2) + _xlfn.FLOOR.MATH((($AI86-1)*Characters!$P$14+Characters!$I$14)*5/2)</f>
        <v>829</v>
      </c>
      <c r="AC86" s="39">
        <f>_xlfn.FLOOR.MATH((Characters!$G$15+Characters!$N$15*(Floor!$F86-1))*10/2) + _xlfn.FLOOR.MATH((($AI86-1)*Characters!$P$15+Characters!$I$15)*5/2)</f>
        <v>829</v>
      </c>
      <c r="AD86" s="39">
        <f>_xlfn.FLOOR.MATH((Characters!$G$16+Characters!$N$16*(Floor!$F86-1))*10/2) + _xlfn.FLOOR.MATH((($AI86-1)*Characters!$P$16+Characters!$I$16)*5/2)</f>
        <v>829</v>
      </c>
      <c r="AE86" s="39">
        <f>_xlfn.FLOOR.MATH((Characters!$G$17+Characters!$N$17*(Floor!$F86-1))*10/2) + _xlfn.FLOOR.MATH((($AI86-1)*Characters!$P$17+Characters!$I$17)*5/2)</f>
        <v>829</v>
      </c>
      <c r="AF86" s="39">
        <f>_xlfn.FLOOR.MATH((Characters!$G$18+Characters!$N$18*(Floor!$F86-1))*10/2) + _xlfn.FLOOR.MATH((($AI86-1)*Characters!$P$18+Characters!$I$18)*5/2)</f>
        <v>829</v>
      </c>
      <c r="AG86" s="33">
        <f>_xlfn.FLOOR.MATH((Characters!$G$19+Characters!$N$19*(Floor!$F86-1))*10/2) + _xlfn.FLOOR.MATH((($AI86-1)*Characters!$P$19+Characters!$I$19)*5/2)</f>
        <v>829</v>
      </c>
      <c r="AH86" s="67"/>
      <c r="AI86" s="38">
        <v>79</v>
      </c>
      <c r="AJ86" s="71">
        <f t="shared" si="17"/>
        <v>6241.88</v>
      </c>
      <c r="AK86" s="105">
        <f t="shared" si="26"/>
        <v>167672.75999999998</v>
      </c>
      <c r="AL86" s="38">
        <f>_xlfn.FLOOR.MATH(($AI86-1)*Characters!$M$7+Characters!$F$7)+$AK$5</f>
        <v>6740</v>
      </c>
      <c r="AM86" s="39">
        <f>_xlfn.FLOOR.MATH(($AI86-1)*Characters!$M$8+Characters!$F$8)+$AK$5</f>
        <v>8350</v>
      </c>
      <c r="AN86" s="39">
        <f>_xlfn.FLOOR.MATH(($AI86-1)*Characters!$M$9+Characters!$F$9)+$AK$5</f>
        <v>6280</v>
      </c>
      <c r="AO86" s="39">
        <f>_xlfn.FLOOR.MATH(($AI86-1)*Characters!$M$10+Characters!$F$10)+$AK$5</f>
        <v>7090</v>
      </c>
      <c r="AP86" s="39">
        <f>_xlfn.FLOOR.MATH(($AI86-1)*Characters!$M$11+Characters!$F$11)+$AK$5</f>
        <v>6280</v>
      </c>
      <c r="AQ86" s="39">
        <f>_xlfn.FLOOR.MATH(($AI86-1)*Characters!$M$12+Characters!$F$12)+$AK$5</f>
        <v>7480</v>
      </c>
      <c r="AR86" s="38">
        <f>_xlfn.FLOOR.MATH((($AI86-1)*Characters!$Q$7+Characters!$J$7+$AK$4)*5/2)</f>
        <v>200</v>
      </c>
      <c r="AS86" s="39">
        <f>_xlfn.FLOOR.MATH((($AI86-1)*Characters!$Q$8+Characters!$J$8+$AK$4)*5/2)</f>
        <v>227</v>
      </c>
      <c r="AT86" s="39">
        <f>_xlfn.FLOOR.MATH((($AI86-1)*Characters!$Q$9+Characters!$J$9+$AK$4)*5/2)</f>
        <v>163</v>
      </c>
      <c r="AU86" s="39">
        <f>_xlfn.FLOOR.MATH((($AI86-1)*Characters!$Q$10+Characters!$J$10+$AK$4)*5/2)</f>
        <v>202</v>
      </c>
      <c r="AV86" s="39">
        <f>_xlfn.FLOOR.MATH((($AI86-1)*Characters!$Q$11+Characters!$J$11+$AK$4)*5/2)</f>
        <v>161</v>
      </c>
      <c r="AW86" s="39">
        <f>_xlfn.FLOOR.MATH((($AI86-1)*Characters!$Q$12+Characters!$J$12+$AK$4)*5/2)</f>
        <v>227</v>
      </c>
      <c r="AX86" s="38">
        <f>_xlfn.FLOOR.MATH((($AI86-1)*Characters!$N$7+Characters!$G$7+$AK$2)*10/2) + _xlfn.FLOOR.MATH((($AI86-1)*Characters!$P$7+Characters!$I$7+$AK$3)*5/2)</f>
        <v>330</v>
      </c>
      <c r="AY86" s="39">
        <f>_xlfn.FLOOR.MATH((($AI86-1)*Characters!$N$8+Characters!$G$8+$AK$2)*10/2) + _xlfn.FLOOR.MATH((($AI86-1)*Characters!$P$8+Characters!$I$8+$AK$3)*5/2)</f>
        <v>431</v>
      </c>
      <c r="AZ86" s="39">
        <f>_xlfn.FLOOR.MATH((($AI86-1)*Characters!$N$9+Characters!$G$9+$AK$2)*10/2) + _xlfn.FLOOR.MATH((($AI86-1)*Characters!$P$9+Characters!$I$9+$AK$3)*5/2)</f>
        <v>171</v>
      </c>
      <c r="BA86" s="39">
        <f>_xlfn.FLOOR.MATH((($AI86-1)*Characters!$N$10+Characters!$G$10+$AK$2)*10/2) + _xlfn.FLOOR.MATH((($AI86-1)*Characters!$P$10+Characters!$I$10+$AK$3)*5/2)</f>
        <v>506</v>
      </c>
      <c r="BB86" s="39">
        <f>_xlfn.FLOOR.MATH((($AI86-1)*Characters!$N$11+Characters!$G$11+$AK$2)*10/2) + _xlfn.FLOOR.MATH((($AI86-1)*Characters!$P$11+Characters!$I$11+$AK$3)*5/2)</f>
        <v>193</v>
      </c>
      <c r="BC86" s="33">
        <f>_xlfn.FLOOR.MATH((($AI86-1)*Characters!$N$12+Characters!$G$12+$AK$2)*10/2) + _xlfn.FLOOR.MATH((($AI86-1)*Characters!$P$12+Characters!$I$12+$AK$3)*5/2)</f>
        <v>470</v>
      </c>
    </row>
    <row r="87" spans="1:55" ht="18" customHeight="1">
      <c r="A87" s="38">
        <v>80</v>
      </c>
      <c r="B87" s="20">
        <f t="shared" si="18"/>
        <v>22</v>
      </c>
      <c r="C87" s="20">
        <f t="shared" si="19"/>
        <v>20</v>
      </c>
      <c r="D87" s="52">
        <f t="shared" si="20"/>
        <v>40</v>
      </c>
      <c r="E87" s="52">
        <f t="shared" si="24"/>
        <v>120</v>
      </c>
      <c r="F87" s="67">
        <f t="shared" si="15"/>
        <v>119</v>
      </c>
      <c r="G87" s="52">
        <f t="shared" si="16"/>
        <v>1904.15</v>
      </c>
      <c r="H87" s="52">
        <f t="shared" si="21"/>
        <v>5712.4500000000007</v>
      </c>
      <c r="I87" s="52">
        <f t="shared" si="22"/>
        <v>3808.3</v>
      </c>
      <c r="J87" s="69">
        <f t="shared" si="25"/>
        <v>110353.60000000002</v>
      </c>
      <c r="K87" s="70">
        <f t="shared" si="23"/>
        <v>68</v>
      </c>
      <c r="L87" s="132"/>
      <c r="M87" s="38">
        <f>Characters!$F$13+((Characters!$M$13 )*(Floor!$F87-1))</f>
        <v>7230</v>
      </c>
      <c r="N87" s="39">
        <f>Characters!$F$14+((Characters!$M$14 )*(Floor!F87-1))</f>
        <v>7230</v>
      </c>
      <c r="O87" s="39">
        <f>Characters!$F$15+((Characters!$M$15 )*(Floor!$F87-1))</f>
        <v>7230</v>
      </c>
      <c r="P87" s="39">
        <f>Characters!$F$16+((Characters!$M$16 )*(Floor!$F87-1))</f>
        <v>7230</v>
      </c>
      <c r="Q87" s="39">
        <f>Characters!$F$17+((Characters!$M$17)*(Floor!$F87-1))</f>
        <v>7230</v>
      </c>
      <c r="R87" s="39">
        <f>Characters!$F$18+((Characters!$M$18 )*(Floor!$F87-1))</f>
        <v>7230</v>
      </c>
      <c r="S87" s="33">
        <f>Characters!$F$19+((Characters!$M$19 )*(Floor!$F87-1))</f>
        <v>7230</v>
      </c>
      <c r="T87" s="38">
        <f>_xlfn.FLOOR.MATH((Characters!$J$13+Characters!$Q$13*(Floor!$F87-1))*5/2)</f>
        <v>905</v>
      </c>
      <c r="U87" s="39">
        <f>_xlfn.FLOOR.MATH((Characters!$J$14+Characters!$Q$14*(Floor!$F87-1))*5/2)</f>
        <v>905</v>
      </c>
      <c r="V87" s="39">
        <f>_xlfn.FLOOR.MATH((Characters!$J$15+Characters!$Q$15*(Floor!$F87-1))*5/2)</f>
        <v>905</v>
      </c>
      <c r="W87" s="39">
        <f>_xlfn.FLOOR.MATH((Characters!$J$16+Characters!$Q$16*(Floor!$F87-1))*5/2)</f>
        <v>905</v>
      </c>
      <c r="X87" s="39">
        <f>_xlfn.FLOOR.MATH((Characters!$J$17+Characters!$Q$17*(Floor!$F87-1))*5/2)</f>
        <v>905</v>
      </c>
      <c r="Y87" s="39">
        <f>_xlfn.FLOOR.MATH((Characters!$J$18+Characters!$Q$18*(Floor!$F87-1))*5/2)</f>
        <v>905</v>
      </c>
      <c r="Z87" s="39">
        <f>_xlfn.FLOOR.MATH((Characters!$J$19+Characters!$Q$19*(Floor!$F87-1))*5/2)</f>
        <v>905</v>
      </c>
      <c r="AA87" s="38">
        <f>_xlfn.FLOOR.MATH((Characters!$G$13+Characters!$N$13*(Floor!$F87-1))*10/2) + _xlfn.FLOOR.MATH((($AI87-1)*Characters!$P$13+Characters!$I$13)*5/2)</f>
        <v>836</v>
      </c>
      <c r="AB87" s="39">
        <f>_xlfn.FLOOR.MATH((Characters!$G$14+Characters!$N$14*(Floor!$F87-1))*10/2) + _xlfn.FLOOR.MATH((($AI87-1)*Characters!$P$14+Characters!$I$14)*5/2)</f>
        <v>836</v>
      </c>
      <c r="AC87" s="39">
        <f>_xlfn.FLOOR.MATH((Characters!$G$15+Characters!$N$15*(Floor!$F87-1))*10/2) + _xlfn.FLOOR.MATH((($AI87-1)*Characters!$P$15+Characters!$I$15)*5/2)</f>
        <v>836</v>
      </c>
      <c r="AD87" s="39">
        <f>_xlfn.FLOOR.MATH((Characters!$G$16+Characters!$N$16*(Floor!$F87-1))*10/2) + _xlfn.FLOOR.MATH((($AI87-1)*Characters!$P$16+Characters!$I$16)*5/2)</f>
        <v>836</v>
      </c>
      <c r="AE87" s="39">
        <f>_xlfn.FLOOR.MATH((Characters!$G$17+Characters!$N$17*(Floor!$F87-1))*10/2) + _xlfn.FLOOR.MATH((($AI87-1)*Characters!$P$17+Characters!$I$17)*5/2)</f>
        <v>836</v>
      </c>
      <c r="AF87" s="39">
        <f>_xlfn.FLOOR.MATH((Characters!$G$18+Characters!$N$18*(Floor!$F87-1))*10/2) + _xlfn.FLOOR.MATH((($AI87-1)*Characters!$P$18+Characters!$I$18)*5/2)</f>
        <v>836</v>
      </c>
      <c r="AG87" s="33">
        <f>_xlfn.FLOOR.MATH((Characters!$G$19+Characters!$N$19*(Floor!$F87-1))*10/2) + _xlfn.FLOOR.MATH((($AI87-1)*Characters!$P$19+Characters!$I$19)*5/2)</f>
        <v>836</v>
      </c>
      <c r="AH87" s="67"/>
      <c r="AI87" s="38">
        <v>80</v>
      </c>
      <c r="AJ87" s="71">
        <f t="shared" si="17"/>
        <v>6400.84</v>
      </c>
      <c r="AK87" s="105">
        <f t="shared" si="26"/>
        <v>174073.59999999998</v>
      </c>
      <c r="AL87" s="38">
        <f>_xlfn.FLOOR.MATH(($AI87-1)*Characters!$M$7+Characters!$F$7)+$AK$5</f>
        <v>6770</v>
      </c>
      <c r="AM87" s="39">
        <f>_xlfn.FLOOR.MATH(($AI87-1)*Characters!$M$8+Characters!$F$8)+$AK$5</f>
        <v>8400</v>
      </c>
      <c r="AN87" s="39">
        <f>_xlfn.FLOOR.MATH(($AI87-1)*Characters!$M$9+Characters!$F$9)+$AK$5</f>
        <v>6305</v>
      </c>
      <c r="AO87" s="39">
        <f>_xlfn.FLOOR.MATH(($AI87-1)*Characters!$M$10+Characters!$F$10)+$AK$5</f>
        <v>7125</v>
      </c>
      <c r="AP87" s="39">
        <f>_xlfn.FLOOR.MATH(($AI87-1)*Characters!$M$11+Characters!$F$11)+$AK$5</f>
        <v>6305</v>
      </c>
      <c r="AQ87" s="39">
        <f>_xlfn.FLOOR.MATH(($AI87-1)*Characters!$M$12+Characters!$F$12)+$AK$5</f>
        <v>7520</v>
      </c>
      <c r="AR87" s="38">
        <f>_xlfn.FLOOR.MATH((($AI87-1)*Characters!$Q$7+Characters!$J$7+$AK$4)*5/2)</f>
        <v>201</v>
      </c>
      <c r="AS87" s="39">
        <f>_xlfn.FLOOR.MATH((($AI87-1)*Characters!$Q$8+Characters!$J$8+$AK$4)*5/2)</f>
        <v>228</v>
      </c>
      <c r="AT87" s="39">
        <f>_xlfn.FLOOR.MATH((($AI87-1)*Characters!$Q$9+Characters!$J$9+$AK$4)*5/2)</f>
        <v>164</v>
      </c>
      <c r="AU87" s="39">
        <f>_xlfn.FLOOR.MATH((($AI87-1)*Characters!$Q$10+Characters!$J$10+$AK$4)*5/2)</f>
        <v>203</v>
      </c>
      <c r="AV87" s="39">
        <f>_xlfn.FLOOR.MATH((($AI87-1)*Characters!$Q$11+Characters!$J$11+$AK$4)*5/2)</f>
        <v>161</v>
      </c>
      <c r="AW87" s="39">
        <f>_xlfn.FLOOR.MATH((($AI87-1)*Characters!$Q$12+Characters!$J$12+$AK$4)*5/2)</f>
        <v>228</v>
      </c>
      <c r="AX87" s="38">
        <f>_xlfn.FLOOR.MATH((($AI87-1)*Characters!$N$7+Characters!$G$7+$AK$2)*10/2) + _xlfn.FLOOR.MATH((($AI87-1)*Characters!$P$7+Characters!$I$7+$AK$3)*5/2)</f>
        <v>333</v>
      </c>
      <c r="AY87" s="39">
        <f>_xlfn.FLOOR.MATH((($AI87-1)*Characters!$N$8+Characters!$G$8+$AK$2)*10/2) + _xlfn.FLOOR.MATH((($AI87-1)*Characters!$P$8+Characters!$I$8+$AK$3)*5/2)</f>
        <v>435</v>
      </c>
      <c r="AZ87" s="39">
        <f>_xlfn.FLOOR.MATH((($AI87-1)*Characters!$N$9+Characters!$G$9+$AK$2)*10/2) + _xlfn.FLOOR.MATH((($AI87-1)*Characters!$P$9+Characters!$I$9+$AK$3)*5/2)</f>
        <v>173</v>
      </c>
      <c r="BA87" s="39">
        <f>_xlfn.FLOOR.MATH((($AI87-1)*Characters!$N$10+Characters!$G$10+$AK$2)*10/2) + _xlfn.FLOOR.MATH((($AI87-1)*Characters!$P$10+Characters!$I$10+$AK$3)*5/2)</f>
        <v>511</v>
      </c>
      <c r="BB87" s="39">
        <f>_xlfn.FLOOR.MATH((($AI87-1)*Characters!$N$11+Characters!$G$11+$AK$2)*10/2) + _xlfn.FLOOR.MATH((($AI87-1)*Characters!$P$11+Characters!$I$11+$AK$3)*5/2)</f>
        <v>195</v>
      </c>
      <c r="BC87" s="33">
        <f>_xlfn.FLOOR.MATH((($AI87-1)*Characters!$N$12+Characters!$G$12+$AK$2)*10/2) + _xlfn.FLOOR.MATH((($AI87-1)*Characters!$P$12+Characters!$I$12+$AK$3)*5/2)</f>
        <v>475</v>
      </c>
    </row>
    <row r="88" spans="1:55" ht="18" customHeight="1">
      <c r="A88" s="38">
        <v>81</v>
      </c>
      <c r="B88" s="20">
        <f t="shared" si="18"/>
        <v>22</v>
      </c>
      <c r="C88" s="20">
        <f t="shared" si="19"/>
        <v>20</v>
      </c>
      <c r="D88" s="52">
        <f t="shared" si="20"/>
        <v>40</v>
      </c>
      <c r="E88" s="52">
        <f t="shared" si="24"/>
        <v>120</v>
      </c>
      <c r="F88" s="67">
        <f t="shared" si="15"/>
        <v>121</v>
      </c>
      <c r="G88" s="52">
        <f t="shared" si="16"/>
        <v>1936.1500000000003</v>
      </c>
      <c r="H88" s="52">
        <f t="shared" si="21"/>
        <v>5808.4500000000007</v>
      </c>
      <c r="I88" s="52">
        <f t="shared" si="22"/>
        <v>3872.3000000000006</v>
      </c>
      <c r="J88" s="69">
        <f t="shared" si="25"/>
        <v>114225.90000000002</v>
      </c>
      <c r="K88" s="70">
        <f t="shared" si="23"/>
        <v>69</v>
      </c>
      <c r="L88" s="132"/>
      <c r="M88" s="38">
        <f>Characters!$F$13+((Characters!$M$13 )*(Floor!$F88-1))</f>
        <v>7350</v>
      </c>
      <c r="N88" s="39">
        <f>Characters!$F$14+((Characters!$M$14 )*(Floor!F88-1))</f>
        <v>7350</v>
      </c>
      <c r="O88" s="39">
        <f>Characters!$F$15+((Characters!$M$15 )*(Floor!$F88-1))</f>
        <v>7350</v>
      </c>
      <c r="P88" s="39">
        <f>Characters!$F$16+((Characters!$M$16 )*(Floor!$F88-1))</f>
        <v>7350</v>
      </c>
      <c r="Q88" s="39">
        <f>Characters!$F$17+((Characters!$M$17)*(Floor!$F88-1))</f>
        <v>7350</v>
      </c>
      <c r="R88" s="39">
        <f>Characters!$F$18+((Characters!$M$18 )*(Floor!$F88-1))</f>
        <v>7350</v>
      </c>
      <c r="S88" s="33">
        <f>Characters!$F$19+((Characters!$M$19 )*(Floor!$F88-1))</f>
        <v>7350</v>
      </c>
      <c r="T88" s="38">
        <f>_xlfn.FLOOR.MATH((Characters!$J$13+Characters!$Q$13*(Floor!$F88-1))*5/2)</f>
        <v>920</v>
      </c>
      <c r="U88" s="39">
        <f>_xlfn.FLOOR.MATH((Characters!$J$14+Characters!$Q$14*(Floor!$F88-1))*5/2)</f>
        <v>920</v>
      </c>
      <c r="V88" s="39">
        <f>_xlfn.FLOOR.MATH((Characters!$J$15+Characters!$Q$15*(Floor!$F88-1))*5/2)</f>
        <v>920</v>
      </c>
      <c r="W88" s="39">
        <f>_xlfn.FLOOR.MATH((Characters!$J$16+Characters!$Q$16*(Floor!$F88-1))*5/2)</f>
        <v>920</v>
      </c>
      <c r="X88" s="39">
        <f>_xlfn.FLOOR.MATH((Characters!$J$17+Characters!$Q$17*(Floor!$F88-1))*5/2)</f>
        <v>920</v>
      </c>
      <c r="Y88" s="39">
        <f>_xlfn.FLOOR.MATH((Characters!$J$18+Characters!$Q$18*(Floor!$F88-1))*5/2)</f>
        <v>920</v>
      </c>
      <c r="Z88" s="39">
        <f>_xlfn.FLOOR.MATH((Characters!$J$19+Characters!$Q$19*(Floor!$F88-1))*5/2)</f>
        <v>920</v>
      </c>
      <c r="AA88" s="38">
        <f>_xlfn.FLOOR.MATH((Characters!$G$13+Characters!$N$13*(Floor!$F88-1))*10/2) + _xlfn.FLOOR.MATH((($AI88-1)*Characters!$P$13+Characters!$I$13)*5/2)</f>
        <v>850</v>
      </c>
      <c r="AB88" s="39">
        <f>_xlfn.FLOOR.MATH((Characters!$G$14+Characters!$N$14*(Floor!$F88-1))*10/2) + _xlfn.FLOOR.MATH((($AI88-1)*Characters!$P$14+Characters!$I$14)*5/2)</f>
        <v>850</v>
      </c>
      <c r="AC88" s="39">
        <f>_xlfn.FLOOR.MATH((Characters!$G$15+Characters!$N$15*(Floor!$F88-1))*10/2) + _xlfn.FLOOR.MATH((($AI88-1)*Characters!$P$15+Characters!$I$15)*5/2)</f>
        <v>850</v>
      </c>
      <c r="AD88" s="39">
        <f>_xlfn.FLOOR.MATH((Characters!$G$16+Characters!$N$16*(Floor!$F88-1))*10/2) + _xlfn.FLOOR.MATH((($AI88-1)*Characters!$P$16+Characters!$I$16)*5/2)</f>
        <v>850</v>
      </c>
      <c r="AE88" s="39">
        <f>_xlfn.FLOOR.MATH((Characters!$G$17+Characters!$N$17*(Floor!$F88-1))*10/2) + _xlfn.FLOOR.MATH((($AI88-1)*Characters!$P$17+Characters!$I$17)*5/2)</f>
        <v>850</v>
      </c>
      <c r="AF88" s="39">
        <f>_xlfn.FLOOR.MATH((Characters!$G$18+Characters!$N$18*(Floor!$F88-1))*10/2) + _xlfn.FLOOR.MATH((($AI88-1)*Characters!$P$18+Characters!$I$18)*5/2)</f>
        <v>850</v>
      </c>
      <c r="AG88" s="33">
        <f>_xlfn.FLOOR.MATH((Characters!$G$19+Characters!$N$19*(Floor!$F88-1))*10/2) + _xlfn.FLOOR.MATH((($AI88-1)*Characters!$P$19+Characters!$I$19)*5/2)</f>
        <v>850</v>
      </c>
      <c r="AH88" s="67"/>
      <c r="AI88" s="38">
        <v>81</v>
      </c>
      <c r="AJ88" s="71">
        <f t="shared" si="17"/>
        <v>6561.8</v>
      </c>
      <c r="AK88" s="105">
        <f t="shared" si="26"/>
        <v>180635.39999999997</v>
      </c>
      <c r="AL88" s="38">
        <f>_xlfn.FLOOR.MATH(($AI88-1)*Characters!$M$7+Characters!$F$7)+$AK$5</f>
        <v>6800</v>
      </c>
      <c r="AM88" s="39">
        <f>_xlfn.FLOOR.MATH(($AI88-1)*Characters!$M$8+Characters!$F$8)+$AK$5</f>
        <v>8450</v>
      </c>
      <c r="AN88" s="39">
        <f>_xlfn.FLOOR.MATH(($AI88-1)*Characters!$M$9+Characters!$F$9)+$AK$5</f>
        <v>6330</v>
      </c>
      <c r="AO88" s="39">
        <f>_xlfn.FLOOR.MATH(($AI88-1)*Characters!$M$10+Characters!$F$10)+$AK$5</f>
        <v>7160</v>
      </c>
      <c r="AP88" s="39">
        <f>_xlfn.FLOOR.MATH(($AI88-1)*Characters!$M$11+Characters!$F$11)+$AK$5</f>
        <v>6330</v>
      </c>
      <c r="AQ88" s="39">
        <f>_xlfn.FLOOR.MATH(($AI88-1)*Characters!$M$12+Characters!$F$12)+$AK$5</f>
        <v>7560</v>
      </c>
      <c r="AR88" s="38">
        <f>_xlfn.FLOOR.MATH((($AI88-1)*Characters!$Q$7+Characters!$J$7+$AK$4)*5/2)</f>
        <v>202</v>
      </c>
      <c r="AS88" s="39">
        <f>_xlfn.FLOOR.MATH((($AI88-1)*Characters!$Q$8+Characters!$J$8+$AK$4)*5/2)</f>
        <v>230</v>
      </c>
      <c r="AT88" s="39">
        <f>_xlfn.FLOOR.MATH((($AI88-1)*Characters!$Q$9+Characters!$J$9+$AK$4)*5/2)</f>
        <v>165</v>
      </c>
      <c r="AU88" s="39">
        <f>_xlfn.FLOOR.MATH((($AI88-1)*Characters!$Q$10+Characters!$J$10+$AK$4)*5/2)</f>
        <v>205</v>
      </c>
      <c r="AV88" s="39">
        <f>_xlfn.FLOOR.MATH((($AI88-1)*Characters!$Q$11+Characters!$J$11+$AK$4)*5/2)</f>
        <v>162</v>
      </c>
      <c r="AW88" s="39">
        <f>_xlfn.FLOOR.MATH((($AI88-1)*Characters!$Q$12+Characters!$J$12+$AK$4)*5/2)</f>
        <v>230</v>
      </c>
      <c r="AX88" s="38">
        <f>_xlfn.FLOOR.MATH((($AI88-1)*Characters!$N$7+Characters!$G$7+$AK$2)*10/2) + _xlfn.FLOOR.MATH((($AI88-1)*Characters!$P$7+Characters!$I$7+$AK$3)*5/2)</f>
        <v>337</v>
      </c>
      <c r="AY88" s="39">
        <f>_xlfn.FLOOR.MATH((($AI88-1)*Characters!$N$8+Characters!$G$8+$AK$2)*10/2) + _xlfn.FLOOR.MATH((($AI88-1)*Characters!$P$8+Characters!$I$8+$AK$3)*5/2)</f>
        <v>440</v>
      </c>
      <c r="AZ88" s="39">
        <f>_xlfn.FLOOR.MATH((($AI88-1)*Characters!$N$9+Characters!$G$9+$AK$2)*10/2) + _xlfn.FLOOR.MATH((($AI88-1)*Characters!$P$9+Characters!$I$9+$AK$3)*5/2)</f>
        <v>175</v>
      </c>
      <c r="BA88" s="39">
        <f>_xlfn.FLOOR.MATH((($AI88-1)*Characters!$N$10+Characters!$G$10+$AK$2)*10/2) + _xlfn.FLOOR.MATH((($AI88-1)*Characters!$P$10+Characters!$I$10+$AK$3)*5/2)</f>
        <v>517</v>
      </c>
      <c r="BB88" s="39">
        <f>_xlfn.FLOOR.MATH((($AI88-1)*Characters!$N$11+Characters!$G$11+$AK$2)*10/2) + _xlfn.FLOOR.MATH((($AI88-1)*Characters!$P$11+Characters!$I$11+$AK$3)*5/2)</f>
        <v>197</v>
      </c>
      <c r="BC88" s="33">
        <f>_xlfn.FLOOR.MATH((($AI88-1)*Characters!$N$12+Characters!$G$12+$AK$2)*10/2) + _xlfn.FLOOR.MATH((($AI88-1)*Characters!$P$12+Characters!$I$12+$AK$3)*5/2)</f>
        <v>480</v>
      </c>
    </row>
    <row r="89" spans="1:55" ht="18" customHeight="1">
      <c r="A89" s="38">
        <v>82</v>
      </c>
      <c r="B89" s="20">
        <f t="shared" si="18"/>
        <v>22</v>
      </c>
      <c r="C89" s="20">
        <f t="shared" si="19"/>
        <v>20</v>
      </c>
      <c r="D89" s="52">
        <f t="shared" si="20"/>
        <v>40</v>
      </c>
      <c r="E89" s="52">
        <f t="shared" si="24"/>
        <v>120</v>
      </c>
      <c r="F89" s="67">
        <f t="shared" si="15"/>
        <v>122</v>
      </c>
      <c r="G89" s="52">
        <f t="shared" si="16"/>
        <v>1952.1500000000003</v>
      </c>
      <c r="H89" s="52">
        <f t="shared" si="21"/>
        <v>5856.4500000000007</v>
      </c>
      <c r="I89" s="52">
        <f t="shared" si="22"/>
        <v>3904.3000000000006</v>
      </c>
      <c r="J89" s="69">
        <f t="shared" si="25"/>
        <v>118130.20000000003</v>
      </c>
      <c r="K89" s="70">
        <f t="shared" si="23"/>
        <v>70</v>
      </c>
      <c r="L89" s="132"/>
      <c r="M89" s="38">
        <f>Characters!$F$13+((Characters!$M$13 )*(Floor!$F89-1))</f>
        <v>7410</v>
      </c>
      <c r="N89" s="39">
        <f>Characters!$F$14+((Characters!$M$14 )*(Floor!F89-1))</f>
        <v>7410</v>
      </c>
      <c r="O89" s="39">
        <f>Characters!$F$15+((Characters!$M$15 )*(Floor!$F89-1))</f>
        <v>7410</v>
      </c>
      <c r="P89" s="39">
        <f>Characters!$F$16+((Characters!$M$16 )*(Floor!$F89-1))</f>
        <v>7410</v>
      </c>
      <c r="Q89" s="39">
        <f>Characters!$F$17+((Characters!$M$17)*(Floor!$F89-1))</f>
        <v>7410</v>
      </c>
      <c r="R89" s="39">
        <f>Characters!$F$18+((Characters!$M$18 )*(Floor!$F89-1))</f>
        <v>7410</v>
      </c>
      <c r="S89" s="33">
        <f>Characters!$F$19+((Characters!$M$19 )*(Floor!$F89-1))</f>
        <v>7410</v>
      </c>
      <c r="T89" s="38">
        <f>_xlfn.FLOOR.MATH((Characters!$J$13+Characters!$Q$13*(Floor!$F89-1))*5/2)</f>
        <v>927</v>
      </c>
      <c r="U89" s="39">
        <f>_xlfn.FLOOR.MATH((Characters!$J$14+Characters!$Q$14*(Floor!$F89-1))*5/2)</f>
        <v>927</v>
      </c>
      <c r="V89" s="39">
        <f>_xlfn.FLOOR.MATH((Characters!$J$15+Characters!$Q$15*(Floor!$F89-1))*5/2)</f>
        <v>927</v>
      </c>
      <c r="W89" s="39">
        <f>_xlfn.FLOOR.MATH((Characters!$J$16+Characters!$Q$16*(Floor!$F89-1))*5/2)</f>
        <v>927</v>
      </c>
      <c r="X89" s="39">
        <f>_xlfn.FLOOR.MATH((Characters!$J$17+Characters!$Q$17*(Floor!$F89-1))*5/2)</f>
        <v>927</v>
      </c>
      <c r="Y89" s="39">
        <f>_xlfn.FLOOR.MATH((Characters!$J$18+Characters!$Q$18*(Floor!$F89-1))*5/2)</f>
        <v>927</v>
      </c>
      <c r="Z89" s="39">
        <f>_xlfn.FLOOR.MATH((Characters!$J$19+Characters!$Q$19*(Floor!$F89-1))*5/2)</f>
        <v>927</v>
      </c>
      <c r="AA89" s="38">
        <f>_xlfn.FLOOR.MATH((Characters!$G$13+Characters!$N$13*(Floor!$F89-1))*10/2) + _xlfn.FLOOR.MATH((($AI89-1)*Characters!$P$13+Characters!$I$13)*5/2)</f>
        <v>857</v>
      </c>
      <c r="AB89" s="39">
        <f>_xlfn.FLOOR.MATH((Characters!$G$14+Characters!$N$14*(Floor!$F89-1))*10/2) + _xlfn.FLOOR.MATH((($AI89-1)*Characters!$P$14+Characters!$I$14)*5/2)</f>
        <v>857</v>
      </c>
      <c r="AC89" s="39">
        <f>_xlfn.FLOOR.MATH((Characters!$G$15+Characters!$N$15*(Floor!$F89-1))*10/2) + _xlfn.FLOOR.MATH((($AI89-1)*Characters!$P$15+Characters!$I$15)*5/2)</f>
        <v>857</v>
      </c>
      <c r="AD89" s="39">
        <f>_xlfn.FLOOR.MATH((Characters!$G$16+Characters!$N$16*(Floor!$F89-1))*10/2) + _xlfn.FLOOR.MATH((($AI89-1)*Characters!$P$16+Characters!$I$16)*5/2)</f>
        <v>857</v>
      </c>
      <c r="AE89" s="39">
        <f>_xlfn.FLOOR.MATH((Characters!$G$17+Characters!$N$17*(Floor!$F89-1))*10/2) + _xlfn.FLOOR.MATH((($AI89-1)*Characters!$P$17+Characters!$I$17)*5/2)</f>
        <v>857</v>
      </c>
      <c r="AF89" s="39">
        <f>_xlfn.FLOOR.MATH((Characters!$G$18+Characters!$N$18*(Floor!$F89-1))*10/2) + _xlfn.FLOOR.MATH((($AI89-1)*Characters!$P$18+Characters!$I$18)*5/2)</f>
        <v>857</v>
      </c>
      <c r="AG89" s="33">
        <f>_xlfn.FLOOR.MATH((Characters!$G$19+Characters!$N$19*(Floor!$F89-1))*10/2) + _xlfn.FLOOR.MATH((($AI89-1)*Characters!$P$19+Characters!$I$19)*5/2)</f>
        <v>857</v>
      </c>
      <c r="AH89" s="67"/>
      <c r="AI89" s="38">
        <v>82</v>
      </c>
      <c r="AJ89" s="71">
        <f t="shared" si="17"/>
        <v>6724.76</v>
      </c>
      <c r="AK89" s="105">
        <f t="shared" si="26"/>
        <v>187360.15999999997</v>
      </c>
      <c r="AL89" s="38">
        <f>_xlfn.FLOOR.MATH(($AI89-1)*Characters!$M$7+Characters!$F$7)+$AK$5</f>
        <v>6830</v>
      </c>
      <c r="AM89" s="39">
        <f>_xlfn.FLOOR.MATH(($AI89-1)*Characters!$M$8+Characters!$F$8)+$AK$5</f>
        <v>8500</v>
      </c>
      <c r="AN89" s="39">
        <f>_xlfn.FLOOR.MATH(($AI89-1)*Characters!$M$9+Characters!$F$9)+$AK$5</f>
        <v>6355</v>
      </c>
      <c r="AO89" s="39">
        <f>_xlfn.FLOOR.MATH(($AI89-1)*Characters!$M$10+Characters!$F$10)+$AK$5</f>
        <v>7195</v>
      </c>
      <c r="AP89" s="39">
        <f>_xlfn.FLOOR.MATH(($AI89-1)*Characters!$M$11+Characters!$F$11)+$AK$5</f>
        <v>6355</v>
      </c>
      <c r="AQ89" s="39">
        <f>_xlfn.FLOOR.MATH(($AI89-1)*Characters!$M$12+Characters!$F$12)+$AK$5</f>
        <v>7600</v>
      </c>
      <c r="AR89" s="38">
        <f>_xlfn.FLOOR.MATH((($AI89-1)*Characters!$Q$7+Characters!$J$7+$AK$4)*5/2)</f>
        <v>203</v>
      </c>
      <c r="AS89" s="39">
        <f>_xlfn.FLOOR.MATH((($AI89-1)*Characters!$Q$8+Characters!$J$8+$AK$4)*5/2)</f>
        <v>231</v>
      </c>
      <c r="AT89" s="39">
        <f>_xlfn.FLOOR.MATH((($AI89-1)*Characters!$Q$9+Characters!$J$9+$AK$4)*5/2)</f>
        <v>165</v>
      </c>
      <c r="AU89" s="39">
        <f>_xlfn.FLOOR.MATH((($AI89-1)*Characters!$Q$10+Characters!$J$10+$AK$4)*5/2)</f>
        <v>206</v>
      </c>
      <c r="AV89" s="39">
        <f>_xlfn.FLOOR.MATH((($AI89-1)*Characters!$Q$11+Characters!$J$11+$AK$4)*5/2)</f>
        <v>163</v>
      </c>
      <c r="AW89" s="39">
        <f>_xlfn.FLOOR.MATH((($AI89-1)*Characters!$Q$12+Characters!$J$12+$AK$4)*5/2)</f>
        <v>231</v>
      </c>
      <c r="AX89" s="38">
        <f>_xlfn.FLOOR.MATH((($AI89-1)*Characters!$N$7+Characters!$G$7+$AK$2)*10/2) + _xlfn.FLOOR.MATH((($AI89-1)*Characters!$P$7+Characters!$I$7+$AK$3)*5/2)</f>
        <v>340</v>
      </c>
      <c r="AY89" s="39">
        <f>_xlfn.FLOOR.MATH((($AI89-1)*Characters!$N$8+Characters!$G$8+$AK$2)*10/2) + _xlfn.FLOOR.MATH((($AI89-1)*Characters!$P$8+Characters!$I$8+$AK$3)*5/2)</f>
        <v>444</v>
      </c>
      <c r="AZ89" s="39">
        <f>_xlfn.FLOOR.MATH((($AI89-1)*Characters!$N$9+Characters!$G$9+$AK$2)*10/2) + _xlfn.FLOOR.MATH((($AI89-1)*Characters!$P$9+Characters!$I$9+$AK$3)*5/2)</f>
        <v>176</v>
      </c>
      <c r="BA89" s="39">
        <f>_xlfn.FLOOR.MATH((($AI89-1)*Characters!$N$10+Characters!$G$10+$AK$2)*10/2) + _xlfn.FLOOR.MATH((($AI89-1)*Characters!$P$10+Characters!$I$10+$AK$3)*5/2)</f>
        <v>522</v>
      </c>
      <c r="BB89" s="39">
        <f>_xlfn.FLOOR.MATH((($AI89-1)*Characters!$N$11+Characters!$G$11+$AK$2)*10/2) + _xlfn.FLOOR.MATH((($AI89-1)*Characters!$P$11+Characters!$I$11+$AK$3)*5/2)</f>
        <v>199</v>
      </c>
      <c r="BC89" s="33">
        <f>_xlfn.FLOOR.MATH((($AI89-1)*Characters!$N$12+Characters!$G$12+$AK$2)*10/2) + _xlfn.FLOOR.MATH((($AI89-1)*Characters!$P$12+Characters!$I$12+$AK$3)*5/2)</f>
        <v>485</v>
      </c>
    </row>
    <row r="90" spans="1:55" ht="18" customHeight="1">
      <c r="A90" s="38">
        <v>83</v>
      </c>
      <c r="B90" s="20">
        <f t="shared" si="18"/>
        <v>22</v>
      </c>
      <c r="C90" s="20">
        <f t="shared" si="19"/>
        <v>20</v>
      </c>
      <c r="D90" s="52">
        <f t="shared" si="20"/>
        <v>40</v>
      </c>
      <c r="E90" s="52">
        <f t="shared" si="24"/>
        <v>120</v>
      </c>
      <c r="F90" s="67">
        <f t="shared" si="15"/>
        <v>124</v>
      </c>
      <c r="G90" s="52">
        <f t="shared" si="16"/>
        <v>1984.15</v>
      </c>
      <c r="H90" s="52">
        <f t="shared" si="21"/>
        <v>5952.4500000000007</v>
      </c>
      <c r="I90" s="52">
        <f t="shared" si="22"/>
        <v>3968.3</v>
      </c>
      <c r="J90" s="69">
        <f t="shared" si="25"/>
        <v>122098.50000000003</v>
      </c>
      <c r="K90" s="70">
        <f t="shared" si="23"/>
        <v>71</v>
      </c>
      <c r="L90" s="132"/>
      <c r="M90" s="38">
        <f>Characters!$F$13+((Characters!$M$13 )*(Floor!$F90-1))</f>
        <v>7530</v>
      </c>
      <c r="N90" s="39">
        <f>Characters!$F$14+((Characters!$M$14 )*(Floor!F90-1))</f>
        <v>7530</v>
      </c>
      <c r="O90" s="39">
        <f>Characters!$F$15+((Characters!$M$15 )*(Floor!$F90-1))</f>
        <v>7530</v>
      </c>
      <c r="P90" s="39">
        <f>Characters!$F$16+((Characters!$M$16 )*(Floor!$F90-1))</f>
        <v>7530</v>
      </c>
      <c r="Q90" s="39">
        <f>Characters!$F$17+((Characters!$M$17)*(Floor!$F90-1))</f>
        <v>7530</v>
      </c>
      <c r="R90" s="39">
        <f>Characters!$F$18+((Characters!$M$18 )*(Floor!$F90-1))</f>
        <v>7530</v>
      </c>
      <c r="S90" s="33">
        <f>Characters!$F$19+((Characters!$M$19 )*(Floor!$F90-1))</f>
        <v>7530</v>
      </c>
      <c r="T90" s="38">
        <f>_xlfn.FLOOR.MATH((Characters!$J$13+Characters!$Q$13*(Floor!$F90-1))*5/2)</f>
        <v>942</v>
      </c>
      <c r="U90" s="39">
        <f>_xlfn.FLOOR.MATH((Characters!$J$14+Characters!$Q$14*(Floor!$F90-1))*5/2)</f>
        <v>942</v>
      </c>
      <c r="V90" s="39">
        <f>_xlfn.FLOOR.MATH((Characters!$J$15+Characters!$Q$15*(Floor!$F90-1))*5/2)</f>
        <v>942</v>
      </c>
      <c r="W90" s="39">
        <f>_xlfn.FLOOR.MATH((Characters!$J$16+Characters!$Q$16*(Floor!$F90-1))*5/2)</f>
        <v>942</v>
      </c>
      <c r="X90" s="39">
        <f>_xlfn.FLOOR.MATH((Characters!$J$17+Characters!$Q$17*(Floor!$F90-1))*5/2)</f>
        <v>942</v>
      </c>
      <c r="Y90" s="39">
        <f>_xlfn.FLOOR.MATH((Characters!$J$18+Characters!$Q$18*(Floor!$F90-1))*5/2)</f>
        <v>942</v>
      </c>
      <c r="Z90" s="39">
        <f>_xlfn.FLOOR.MATH((Characters!$J$19+Characters!$Q$19*(Floor!$F90-1))*5/2)</f>
        <v>942</v>
      </c>
      <c r="AA90" s="38">
        <f>_xlfn.FLOOR.MATH((Characters!$G$13+Characters!$N$13*(Floor!$F90-1))*10/2) + _xlfn.FLOOR.MATH((($AI90-1)*Characters!$P$13+Characters!$I$13)*5/2)</f>
        <v>870</v>
      </c>
      <c r="AB90" s="39">
        <f>_xlfn.FLOOR.MATH((Characters!$G$14+Characters!$N$14*(Floor!$F90-1))*10/2) + _xlfn.FLOOR.MATH((($AI90-1)*Characters!$P$14+Characters!$I$14)*5/2)</f>
        <v>870</v>
      </c>
      <c r="AC90" s="39">
        <f>_xlfn.FLOOR.MATH((Characters!$G$15+Characters!$N$15*(Floor!$F90-1))*10/2) + _xlfn.FLOOR.MATH((($AI90-1)*Characters!$P$15+Characters!$I$15)*5/2)</f>
        <v>870</v>
      </c>
      <c r="AD90" s="39">
        <f>_xlfn.FLOOR.MATH((Characters!$G$16+Characters!$N$16*(Floor!$F90-1))*10/2) + _xlfn.FLOOR.MATH((($AI90-1)*Characters!$P$16+Characters!$I$16)*5/2)</f>
        <v>870</v>
      </c>
      <c r="AE90" s="39">
        <f>_xlfn.FLOOR.MATH((Characters!$G$17+Characters!$N$17*(Floor!$F90-1))*10/2) + _xlfn.FLOOR.MATH((($AI90-1)*Characters!$P$17+Characters!$I$17)*5/2)</f>
        <v>870</v>
      </c>
      <c r="AF90" s="39">
        <f>_xlfn.FLOOR.MATH((Characters!$G$18+Characters!$N$18*(Floor!$F90-1))*10/2) + _xlfn.FLOOR.MATH((($AI90-1)*Characters!$P$18+Characters!$I$18)*5/2)</f>
        <v>870</v>
      </c>
      <c r="AG90" s="33">
        <f>_xlfn.FLOOR.MATH((Characters!$G$19+Characters!$N$19*(Floor!$F90-1))*10/2) + _xlfn.FLOOR.MATH((($AI90-1)*Characters!$P$19+Characters!$I$19)*5/2)</f>
        <v>870</v>
      </c>
      <c r="AH90" s="67"/>
      <c r="AI90" s="38">
        <v>83</v>
      </c>
      <c r="AJ90" s="71">
        <f t="shared" si="17"/>
        <v>6889.72</v>
      </c>
      <c r="AK90" s="105">
        <f t="shared" si="26"/>
        <v>194249.87999999998</v>
      </c>
      <c r="AL90" s="38">
        <f>_xlfn.FLOOR.MATH(($AI90-1)*Characters!$M$7+Characters!$F$7)+$AK$5</f>
        <v>6860</v>
      </c>
      <c r="AM90" s="39">
        <f>_xlfn.FLOOR.MATH(($AI90-1)*Characters!$M$8+Characters!$F$8)+$AK$5</f>
        <v>8550</v>
      </c>
      <c r="AN90" s="39">
        <f>_xlfn.FLOOR.MATH(($AI90-1)*Characters!$M$9+Characters!$F$9)+$AK$5</f>
        <v>6380</v>
      </c>
      <c r="AO90" s="39">
        <f>_xlfn.FLOOR.MATH(($AI90-1)*Characters!$M$10+Characters!$F$10)+$AK$5</f>
        <v>7230</v>
      </c>
      <c r="AP90" s="39">
        <f>_xlfn.FLOOR.MATH(($AI90-1)*Characters!$M$11+Characters!$F$11)+$AK$5</f>
        <v>6380</v>
      </c>
      <c r="AQ90" s="39">
        <f>_xlfn.FLOOR.MATH(($AI90-1)*Characters!$M$12+Characters!$F$12)+$AK$5</f>
        <v>7640</v>
      </c>
      <c r="AR90" s="38">
        <f>_xlfn.FLOOR.MATH((($AI90-1)*Characters!$Q$7+Characters!$J$7+$AK$4)*5/2)</f>
        <v>205</v>
      </c>
      <c r="AS90" s="39">
        <f>_xlfn.FLOOR.MATH((($AI90-1)*Characters!$Q$8+Characters!$J$8+$AK$4)*5/2)</f>
        <v>233</v>
      </c>
      <c r="AT90" s="39">
        <f>_xlfn.FLOOR.MATH((($AI90-1)*Characters!$Q$9+Characters!$J$9+$AK$4)*5/2)</f>
        <v>166</v>
      </c>
      <c r="AU90" s="39">
        <f>_xlfn.FLOOR.MATH((($AI90-1)*Characters!$Q$10+Characters!$J$10+$AK$4)*5/2)</f>
        <v>207</v>
      </c>
      <c r="AV90" s="39">
        <f>_xlfn.FLOOR.MATH((($AI90-1)*Characters!$Q$11+Characters!$J$11+$AK$4)*5/2)</f>
        <v>164</v>
      </c>
      <c r="AW90" s="39">
        <f>_xlfn.FLOOR.MATH((($AI90-1)*Characters!$Q$12+Characters!$J$12+$AK$4)*5/2)</f>
        <v>233</v>
      </c>
      <c r="AX90" s="38">
        <f>_xlfn.FLOOR.MATH((($AI90-1)*Characters!$N$7+Characters!$G$7+$AK$2)*10/2) + _xlfn.FLOOR.MATH((($AI90-1)*Characters!$P$7+Characters!$I$7+$AK$3)*5/2)</f>
        <v>345</v>
      </c>
      <c r="AY90" s="39">
        <f>_xlfn.FLOOR.MATH((($AI90-1)*Characters!$N$8+Characters!$G$8+$AK$2)*10/2) + _xlfn.FLOOR.MATH((($AI90-1)*Characters!$P$8+Characters!$I$8+$AK$3)*5/2)</f>
        <v>449</v>
      </c>
      <c r="AZ90" s="39">
        <f>_xlfn.FLOOR.MATH((($AI90-1)*Characters!$N$9+Characters!$G$9+$AK$2)*10/2) + _xlfn.FLOOR.MATH((($AI90-1)*Characters!$P$9+Characters!$I$9+$AK$3)*5/2)</f>
        <v>178</v>
      </c>
      <c r="BA90" s="39">
        <f>_xlfn.FLOOR.MATH((($AI90-1)*Characters!$N$10+Characters!$G$10+$AK$2)*10/2) + _xlfn.FLOOR.MATH((($AI90-1)*Characters!$P$10+Characters!$I$10+$AK$3)*5/2)</f>
        <v>528</v>
      </c>
      <c r="BB90" s="39">
        <f>_xlfn.FLOOR.MATH((($AI90-1)*Characters!$N$11+Characters!$G$11+$AK$2)*10/2) + _xlfn.FLOOR.MATH((($AI90-1)*Characters!$P$11+Characters!$I$11+$AK$3)*5/2)</f>
        <v>201</v>
      </c>
      <c r="BC90" s="33">
        <f>_xlfn.FLOOR.MATH((($AI90-1)*Characters!$N$12+Characters!$G$12+$AK$2)*10/2) + _xlfn.FLOOR.MATH((($AI90-1)*Characters!$P$12+Characters!$I$12+$AK$3)*5/2)</f>
        <v>490</v>
      </c>
    </row>
    <row r="91" spans="1:55" ht="18" customHeight="1">
      <c r="A91" s="38">
        <v>84</v>
      </c>
      <c r="B91" s="20">
        <f t="shared" si="18"/>
        <v>22</v>
      </c>
      <c r="C91" s="20">
        <f t="shared" si="19"/>
        <v>20</v>
      </c>
      <c r="D91" s="52">
        <f t="shared" si="20"/>
        <v>40</v>
      </c>
      <c r="E91" s="52">
        <f t="shared" si="24"/>
        <v>120</v>
      </c>
      <c r="F91" s="67">
        <f t="shared" si="15"/>
        <v>125</v>
      </c>
      <c r="G91" s="52">
        <f t="shared" si="16"/>
        <v>2000.15</v>
      </c>
      <c r="H91" s="52">
        <f t="shared" si="21"/>
        <v>6000.4500000000007</v>
      </c>
      <c r="I91" s="52">
        <f t="shared" si="22"/>
        <v>4000.3</v>
      </c>
      <c r="J91" s="69">
        <f t="shared" si="25"/>
        <v>126098.80000000003</v>
      </c>
      <c r="K91" s="70">
        <f t="shared" si="23"/>
        <v>71</v>
      </c>
      <c r="L91" s="132"/>
      <c r="M91" s="38">
        <f>Characters!$F$13+((Characters!$M$13 )*(Floor!$F91-1))</f>
        <v>7590</v>
      </c>
      <c r="N91" s="39">
        <f>Characters!$F$14+((Characters!$M$14 )*(Floor!F91-1))</f>
        <v>7590</v>
      </c>
      <c r="O91" s="39">
        <f>Characters!$F$15+((Characters!$M$15 )*(Floor!$F91-1))</f>
        <v>7590</v>
      </c>
      <c r="P91" s="39">
        <f>Characters!$F$16+((Characters!$M$16 )*(Floor!$F91-1))</f>
        <v>7590</v>
      </c>
      <c r="Q91" s="39">
        <f>Characters!$F$17+((Characters!$M$17)*(Floor!$F91-1))</f>
        <v>7590</v>
      </c>
      <c r="R91" s="39">
        <f>Characters!$F$18+((Characters!$M$18 )*(Floor!$F91-1))</f>
        <v>7590</v>
      </c>
      <c r="S91" s="33">
        <f>Characters!$F$19+((Characters!$M$19 )*(Floor!$F91-1))</f>
        <v>7590</v>
      </c>
      <c r="T91" s="38">
        <f>_xlfn.FLOOR.MATH((Characters!$J$13+Characters!$Q$13*(Floor!$F91-1))*5/2)</f>
        <v>950</v>
      </c>
      <c r="U91" s="39">
        <f>_xlfn.FLOOR.MATH((Characters!$J$14+Characters!$Q$14*(Floor!$F91-1))*5/2)</f>
        <v>950</v>
      </c>
      <c r="V91" s="39">
        <f>_xlfn.FLOOR.MATH((Characters!$J$15+Characters!$Q$15*(Floor!$F91-1))*5/2)</f>
        <v>950</v>
      </c>
      <c r="W91" s="39">
        <f>_xlfn.FLOOR.MATH((Characters!$J$16+Characters!$Q$16*(Floor!$F91-1))*5/2)</f>
        <v>950</v>
      </c>
      <c r="X91" s="39">
        <f>_xlfn.FLOOR.MATH((Characters!$J$17+Characters!$Q$17*(Floor!$F91-1))*5/2)</f>
        <v>950</v>
      </c>
      <c r="Y91" s="39">
        <f>_xlfn.FLOOR.MATH((Characters!$J$18+Characters!$Q$18*(Floor!$F91-1))*5/2)</f>
        <v>950</v>
      </c>
      <c r="Z91" s="39">
        <f>_xlfn.FLOOR.MATH((Characters!$J$19+Characters!$Q$19*(Floor!$F91-1))*5/2)</f>
        <v>950</v>
      </c>
      <c r="AA91" s="38">
        <f>_xlfn.FLOOR.MATH((Characters!$G$13+Characters!$N$13*(Floor!$F91-1))*10/2) + _xlfn.FLOOR.MATH((($AI91-1)*Characters!$P$13+Characters!$I$13)*5/2)</f>
        <v>877</v>
      </c>
      <c r="AB91" s="39">
        <f>_xlfn.FLOOR.MATH((Characters!$G$14+Characters!$N$14*(Floor!$F91-1))*10/2) + _xlfn.FLOOR.MATH((($AI91-1)*Characters!$P$14+Characters!$I$14)*5/2)</f>
        <v>877</v>
      </c>
      <c r="AC91" s="39">
        <f>_xlfn.FLOOR.MATH((Characters!$G$15+Characters!$N$15*(Floor!$F91-1))*10/2) + _xlfn.FLOOR.MATH((($AI91-1)*Characters!$P$15+Characters!$I$15)*5/2)</f>
        <v>877</v>
      </c>
      <c r="AD91" s="39">
        <f>_xlfn.FLOOR.MATH((Characters!$G$16+Characters!$N$16*(Floor!$F91-1))*10/2) + _xlfn.FLOOR.MATH((($AI91-1)*Characters!$P$16+Characters!$I$16)*5/2)</f>
        <v>877</v>
      </c>
      <c r="AE91" s="39">
        <f>_xlfn.FLOOR.MATH((Characters!$G$17+Characters!$N$17*(Floor!$F91-1))*10/2) + _xlfn.FLOOR.MATH((($AI91-1)*Characters!$P$17+Characters!$I$17)*5/2)</f>
        <v>877</v>
      </c>
      <c r="AF91" s="39">
        <f>_xlfn.FLOOR.MATH((Characters!$G$18+Characters!$N$18*(Floor!$F91-1))*10/2) + _xlfn.FLOOR.MATH((($AI91-1)*Characters!$P$18+Characters!$I$18)*5/2)</f>
        <v>877</v>
      </c>
      <c r="AG91" s="33">
        <f>_xlfn.FLOOR.MATH((Characters!$G$19+Characters!$N$19*(Floor!$F91-1))*10/2) + _xlfn.FLOOR.MATH((($AI91-1)*Characters!$P$19+Characters!$I$19)*5/2)</f>
        <v>877</v>
      </c>
      <c r="AH91" s="67"/>
      <c r="AI91" s="38">
        <v>84</v>
      </c>
      <c r="AJ91" s="71">
        <f t="shared" si="17"/>
        <v>7056.68</v>
      </c>
      <c r="AK91" s="105">
        <f t="shared" si="26"/>
        <v>201306.55999999997</v>
      </c>
      <c r="AL91" s="38">
        <f>_xlfn.FLOOR.MATH(($AI91-1)*Characters!$M$7+Characters!$F$7)+$AK$5</f>
        <v>6890</v>
      </c>
      <c r="AM91" s="39">
        <f>_xlfn.FLOOR.MATH(($AI91-1)*Characters!$M$8+Characters!$F$8)+$AK$5</f>
        <v>8600</v>
      </c>
      <c r="AN91" s="39">
        <f>_xlfn.FLOOR.MATH(($AI91-1)*Characters!$M$9+Characters!$F$9)+$AK$5</f>
        <v>6405</v>
      </c>
      <c r="AO91" s="39">
        <f>_xlfn.FLOOR.MATH(($AI91-1)*Characters!$M$10+Characters!$F$10)+$AK$5</f>
        <v>7265</v>
      </c>
      <c r="AP91" s="39">
        <f>_xlfn.FLOOR.MATH(($AI91-1)*Characters!$M$11+Characters!$F$11)+$AK$5</f>
        <v>6405</v>
      </c>
      <c r="AQ91" s="39">
        <f>_xlfn.FLOOR.MATH(($AI91-1)*Characters!$M$12+Characters!$F$12)+$AK$5</f>
        <v>7680</v>
      </c>
      <c r="AR91" s="38">
        <f>_xlfn.FLOOR.MATH((($AI91-1)*Characters!$Q$7+Characters!$J$7+$AK$4)*5/2)</f>
        <v>206</v>
      </c>
      <c r="AS91" s="39">
        <f>_xlfn.FLOOR.MATH((($AI91-1)*Characters!$Q$8+Characters!$J$8+$AK$4)*5/2)</f>
        <v>234</v>
      </c>
      <c r="AT91" s="39">
        <f>_xlfn.FLOOR.MATH((($AI91-1)*Characters!$Q$9+Characters!$J$9+$AK$4)*5/2)</f>
        <v>167</v>
      </c>
      <c r="AU91" s="39">
        <f>_xlfn.FLOOR.MATH((($AI91-1)*Characters!$Q$10+Characters!$J$10+$AK$4)*5/2)</f>
        <v>208</v>
      </c>
      <c r="AV91" s="39">
        <f>_xlfn.FLOOR.MATH((($AI91-1)*Characters!$Q$11+Characters!$J$11+$AK$4)*5/2)</f>
        <v>164</v>
      </c>
      <c r="AW91" s="39">
        <f>_xlfn.FLOOR.MATH((($AI91-1)*Characters!$Q$12+Characters!$J$12+$AK$4)*5/2)</f>
        <v>234</v>
      </c>
      <c r="AX91" s="38">
        <f>_xlfn.FLOOR.MATH((($AI91-1)*Characters!$N$7+Characters!$G$7+$AK$2)*10/2) + _xlfn.FLOOR.MATH((($AI91-1)*Characters!$P$7+Characters!$I$7+$AK$3)*5/2)</f>
        <v>348</v>
      </c>
      <c r="AY91" s="39">
        <f>_xlfn.FLOOR.MATH((($AI91-1)*Characters!$N$8+Characters!$G$8+$AK$2)*10/2) + _xlfn.FLOOR.MATH((($AI91-1)*Characters!$P$8+Characters!$I$8+$AK$3)*5/2)</f>
        <v>453</v>
      </c>
      <c r="AZ91" s="39">
        <f>_xlfn.FLOOR.MATH((($AI91-1)*Characters!$N$9+Characters!$G$9+$AK$2)*10/2) + _xlfn.FLOOR.MATH((($AI91-1)*Characters!$P$9+Characters!$I$9+$AK$3)*5/2)</f>
        <v>180</v>
      </c>
      <c r="BA91" s="39">
        <f>_xlfn.FLOOR.MATH((($AI91-1)*Characters!$N$10+Characters!$G$10+$AK$2)*10/2) + _xlfn.FLOOR.MATH((($AI91-1)*Characters!$P$10+Characters!$I$10+$AK$3)*5/2)</f>
        <v>533</v>
      </c>
      <c r="BB91" s="39">
        <f>_xlfn.FLOOR.MATH((($AI91-1)*Characters!$N$11+Characters!$G$11+$AK$2)*10/2) + _xlfn.FLOOR.MATH((($AI91-1)*Characters!$P$11+Characters!$I$11+$AK$3)*5/2)</f>
        <v>203</v>
      </c>
      <c r="BC91" s="33">
        <f>_xlfn.FLOOR.MATH((($AI91-1)*Characters!$N$12+Characters!$G$12+$AK$2)*10/2) + _xlfn.FLOOR.MATH((($AI91-1)*Characters!$P$12+Characters!$I$12+$AK$3)*5/2)</f>
        <v>495</v>
      </c>
    </row>
    <row r="92" spans="1:55" ht="18" customHeight="1">
      <c r="A92" s="38">
        <v>85</v>
      </c>
      <c r="B92" s="20">
        <f t="shared" si="18"/>
        <v>23</v>
      </c>
      <c r="C92" s="20">
        <f t="shared" si="19"/>
        <v>21</v>
      </c>
      <c r="D92" s="52">
        <f t="shared" si="20"/>
        <v>42</v>
      </c>
      <c r="E92" s="52">
        <f t="shared" si="24"/>
        <v>126</v>
      </c>
      <c r="F92" s="67">
        <f t="shared" si="15"/>
        <v>127</v>
      </c>
      <c r="G92" s="52">
        <f t="shared" si="16"/>
        <v>2133.7500000000005</v>
      </c>
      <c r="H92" s="52">
        <f t="shared" si="21"/>
        <v>6401.2500000000009</v>
      </c>
      <c r="I92" s="52">
        <f t="shared" si="22"/>
        <v>4267.5000000000009</v>
      </c>
      <c r="J92" s="69">
        <f t="shared" si="25"/>
        <v>130366.30000000003</v>
      </c>
      <c r="K92" s="70">
        <f t="shared" si="23"/>
        <v>72</v>
      </c>
      <c r="L92" s="132"/>
      <c r="M92" s="38">
        <f>Characters!$F$13+((Characters!$M$13 )*(Floor!$F92-1))</f>
        <v>7710</v>
      </c>
      <c r="N92" s="39">
        <f>Characters!$F$14+((Characters!$M$14 )*(Floor!F92-1))</f>
        <v>7710</v>
      </c>
      <c r="O92" s="39">
        <f>Characters!$F$15+((Characters!$M$15 )*(Floor!$F92-1))</f>
        <v>7710</v>
      </c>
      <c r="P92" s="39">
        <f>Characters!$F$16+((Characters!$M$16 )*(Floor!$F92-1))</f>
        <v>7710</v>
      </c>
      <c r="Q92" s="39">
        <f>Characters!$F$17+((Characters!$M$17)*(Floor!$F92-1))</f>
        <v>7710</v>
      </c>
      <c r="R92" s="39">
        <f>Characters!$F$18+((Characters!$M$18 )*(Floor!$F92-1))</f>
        <v>7710</v>
      </c>
      <c r="S92" s="33">
        <f>Characters!$F$19+((Characters!$M$19 )*(Floor!$F92-1))</f>
        <v>7710</v>
      </c>
      <c r="T92" s="38">
        <f>_xlfn.FLOOR.MATH((Characters!$J$13+Characters!$Q$13*(Floor!$F92-1))*5/2)</f>
        <v>965</v>
      </c>
      <c r="U92" s="39">
        <f>_xlfn.FLOOR.MATH((Characters!$J$14+Characters!$Q$14*(Floor!$F92-1))*5/2)</f>
        <v>965</v>
      </c>
      <c r="V92" s="39">
        <f>_xlfn.FLOOR.MATH((Characters!$J$15+Characters!$Q$15*(Floor!$F92-1))*5/2)</f>
        <v>965</v>
      </c>
      <c r="W92" s="39">
        <f>_xlfn.FLOOR.MATH((Characters!$J$16+Characters!$Q$16*(Floor!$F92-1))*5/2)</f>
        <v>965</v>
      </c>
      <c r="X92" s="39">
        <f>_xlfn.FLOOR.MATH((Characters!$J$17+Characters!$Q$17*(Floor!$F92-1))*5/2)</f>
        <v>965</v>
      </c>
      <c r="Y92" s="39">
        <f>_xlfn.FLOOR.MATH((Characters!$J$18+Characters!$Q$18*(Floor!$F92-1))*5/2)</f>
        <v>965</v>
      </c>
      <c r="Z92" s="39">
        <f>_xlfn.FLOOR.MATH((Characters!$J$19+Characters!$Q$19*(Floor!$F92-1))*5/2)</f>
        <v>965</v>
      </c>
      <c r="AA92" s="38">
        <f>_xlfn.FLOOR.MATH((Characters!$G$13+Characters!$N$13*(Floor!$F92-1))*10/2) + _xlfn.FLOOR.MATH((($AI92-1)*Characters!$P$13+Characters!$I$13)*5/2)</f>
        <v>891</v>
      </c>
      <c r="AB92" s="39">
        <f>_xlfn.FLOOR.MATH((Characters!$G$14+Characters!$N$14*(Floor!$F92-1))*10/2) + _xlfn.FLOOR.MATH((($AI92-1)*Characters!$P$14+Characters!$I$14)*5/2)</f>
        <v>891</v>
      </c>
      <c r="AC92" s="39">
        <f>_xlfn.FLOOR.MATH((Characters!$G$15+Characters!$N$15*(Floor!$F92-1))*10/2) + _xlfn.FLOOR.MATH((($AI92-1)*Characters!$P$15+Characters!$I$15)*5/2)</f>
        <v>891</v>
      </c>
      <c r="AD92" s="39">
        <f>_xlfn.FLOOR.MATH((Characters!$G$16+Characters!$N$16*(Floor!$F92-1))*10/2) + _xlfn.FLOOR.MATH((($AI92-1)*Characters!$P$16+Characters!$I$16)*5/2)</f>
        <v>891</v>
      </c>
      <c r="AE92" s="39">
        <f>_xlfn.FLOOR.MATH((Characters!$G$17+Characters!$N$17*(Floor!$F92-1))*10/2) + _xlfn.FLOOR.MATH((($AI92-1)*Characters!$P$17+Characters!$I$17)*5/2)</f>
        <v>891</v>
      </c>
      <c r="AF92" s="39">
        <f>_xlfn.FLOOR.MATH((Characters!$G$18+Characters!$N$18*(Floor!$F92-1))*10/2) + _xlfn.FLOOR.MATH((($AI92-1)*Characters!$P$18+Characters!$I$18)*5/2)</f>
        <v>891</v>
      </c>
      <c r="AG92" s="33">
        <f>_xlfn.FLOOR.MATH((Characters!$G$19+Characters!$N$19*(Floor!$F92-1))*10/2) + _xlfn.FLOOR.MATH((($AI92-1)*Characters!$P$19+Characters!$I$19)*5/2)</f>
        <v>891</v>
      </c>
      <c r="AH92" s="67"/>
      <c r="AI92" s="38">
        <v>85</v>
      </c>
      <c r="AJ92" s="71">
        <f t="shared" si="17"/>
        <v>7225.64</v>
      </c>
      <c r="AK92" s="105">
        <f t="shared" si="26"/>
        <v>208532.19999999998</v>
      </c>
      <c r="AL92" s="38">
        <f>_xlfn.FLOOR.MATH(($AI92-1)*Characters!$M$7+Characters!$F$7)+$AK$5</f>
        <v>6920</v>
      </c>
      <c r="AM92" s="39">
        <f>_xlfn.FLOOR.MATH(($AI92-1)*Characters!$M$8+Characters!$F$8)+$AK$5</f>
        <v>8650</v>
      </c>
      <c r="AN92" s="39">
        <f>_xlfn.FLOOR.MATH(($AI92-1)*Characters!$M$9+Characters!$F$9)+$AK$5</f>
        <v>6430</v>
      </c>
      <c r="AO92" s="39">
        <f>_xlfn.FLOOR.MATH(($AI92-1)*Characters!$M$10+Characters!$F$10)+$AK$5</f>
        <v>7300</v>
      </c>
      <c r="AP92" s="39">
        <f>_xlfn.FLOOR.MATH(($AI92-1)*Characters!$M$11+Characters!$F$11)+$AK$5</f>
        <v>6430</v>
      </c>
      <c r="AQ92" s="39">
        <f>_xlfn.FLOOR.MATH(($AI92-1)*Characters!$M$12+Characters!$F$12)+$AK$5</f>
        <v>7720</v>
      </c>
      <c r="AR92" s="38">
        <f>_xlfn.FLOOR.MATH((($AI92-1)*Characters!$Q$7+Characters!$J$7+$AK$4)*5/2)</f>
        <v>207</v>
      </c>
      <c r="AS92" s="39">
        <f>_xlfn.FLOOR.MATH((($AI92-1)*Characters!$Q$8+Characters!$J$8+$AK$4)*5/2)</f>
        <v>236</v>
      </c>
      <c r="AT92" s="39">
        <f>_xlfn.FLOOR.MATH((($AI92-1)*Characters!$Q$9+Characters!$J$9+$AK$4)*5/2)</f>
        <v>168</v>
      </c>
      <c r="AU92" s="39">
        <f>_xlfn.FLOOR.MATH((($AI92-1)*Characters!$Q$10+Characters!$J$10+$AK$4)*5/2)</f>
        <v>210</v>
      </c>
      <c r="AV92" s="39">
        <f>_xlfn.FLOOR.MATH((($AI92-1)*Characters!$Q$11+Characters!$J$11+$AK$4)*5/2)</f>
        <v>165</v>
      </c>
      <c r="AW92" s="39">
        <f>_xlfn.FLOOR.MATH((($AI92-1)*Characters!$Q$12+Characters!$J$12+$AK$4)*5/2)</f>
        <v>236</v>
      </c>
      <c r="AX92" s="38">
        <f>_xlfn.FLOOR.MATH((($AI92-1)*Characters!$N$7+Characters!$G$7+$AK$2)*10/2) + _xlfn.FLOOR.MATH((($AI92-1)*Characters!$P$7+Characters!$I$7+$AK$3)*5/2)</f>
        <v>352</v>
      </c>
      <c r="AY92" s="39">
        <f>_xlfn.FLOOR.MATH((($AI92-1)*Characters!$N$8+Characters!$G$8+$AK$2)*10/2) + _xlfn.FLOOR.MATH((($AI92-1)*Characters!$P$8+Characters!$I$8+$AK$3)*5/2)</f>
        <v>458</v>
      </c>
      <c r="AZ92" s="39">
        <f>_xlfn.FLOOR.MATH((($AI92-1)*Characters!$N$9+Characters!$G$9+$AK$2)*10/2) + _xlfn.FLOOR.MATH((($AI92-1)*Characters!$P$9+Characters!$I$9+$AK$3)*5/2)</f>
        <v>182</v>
      </c>
      <c r="BA92" s="39">
        <f>_xlfn.FLOOR.MATH((($AI92-1)*Characters!$N$10+Characters!$G$10+$AK$2)*10/2) + _xlfn.FLOOR.MATH((($AI92-1)*Characters!$P$10+Characters!$I$10+$AK$3)*5/2)</f>
        <v>539</v>
      </c>
      <c r="BB92" s="39">
        <f>_xlfn.FLOOR.MATH((($AI92-1)*Characters!$N$11+Characters!$G$11+$AK$2)*10/2) + _xlfn.FLOOR.MATH((($AI92-1)*Characters!$P$11+Characters!$I$11+$AK$3)*5/2)</f>
        <v>205</v>
      </c>
      <c r="BC92" s="33">
        <f>_xlfn.FLOOR.MATH((($AI92-1)*Characters!$N$12+Characters!$G$12+$AK$2)*10/2) + _xlfn.FLOOR.MATH((($AI92-1)*Characters!$P$12+Characters!$I$12+$AK$3)*5/2)</f>
        <v>500</v>
      </c>
    </row>
    <row r="93" spans="1:55" ht="18" customHeight="1">
      <c r="A93" s="38">
        <v>86</v>
      </c>
      <c r="B93" s="20">
        <f t="shared" si="18"/>
        <v>23</v>
      </c>
      <c r="C93" s="20">
        <f t="shared" si="19"/>
        <v>21</v>
      </c>
      <c r="D93" s="52">
        <f t="shared" si="20"/>
        <v>42</v>
      </c>
      <c r="E93" s="52">
        <f t="shared" si="24"/>
        <v>126</v>
      </c>
      <c r="F93" s="67">
        <f t="shared" si="15"/>
        <v>128</v>
      </c>
      <c r="G93" s="52">
        <f t="shared" si="16"/>
        <v>2150.5500000000002</v>
      </c>
      <c r="H93" s="52">
        <f t="shared" si="21"/>
        <v>6451.6500000000005</v>
      </c>
      <c r="I93" s="52">
        <f t="shared" si="22"/>
        <v>4301.1000000000004</v>
      </c>
      <c r="J93" s="69">
        <f t="shared" si="25"/>
        <v>134667.40000000002</v>
      </c>
      <c r="K93" s="70">
        <f t="shared" si="23"/>
        <v>73</v>
      </c>
      <c r="L93" s="132"/>
      <c r="M93" s="38">
        <f>Characters!$F$13+((Characters!$M$13 )*(Floor!$F93-1))</f>
        <v>7770</v>
      </c>
      <c r="N93" s="39">
        <f>Characters!$F$14+((Characters!$M$14 )*(Floor!F93-1))</f>
        <v>7770</v>
      </c>
      <c r="O93" s="39">
        <f>Characters!$F$15+((Characters!$M$15 )*(Floor!$F93-1))</f>
        <v>7770</v>
      </c>
      <c r="P93" s="39">
        <f>Characters!$F$16+((Characters!$M$16 )*(Floor!$F93-1))</f>
        <v>7770</v>
      </c>
      <c r="Q93" s="39">
        <f>Characters!$F$17+((Characters!$M$17)*(Floor!$F93-1))</f>
        <v>7770</v>
      </c>
      <c r="R93" s="39">
        <f>Characters!$F$18+((Characters!$M$18 )*(Floor!$F93-1))</f>
        <v>7770</v>
      </c>
      <c r="S93" s="33">
        <f>Characters!$F$19+((Characters!$M$19 )*(Floor!$F93-1))</f>
        <v>7770</v>
      </c>
      <c r="T93" s="38">
        <f>_xlfn.FLOOR.MATH((Characters!$J$13+Characters!$Q$13*(Floor!$F93-1))*5/2)</f>
        <v>972</v>
      </c>
      <c r="U93" s="39">
        <f>_xlfn.FLOOR.MATH((Characters!$J$14+Characters!$Q$14*(Floor!$F93-1))*5/2)</f>
        <v>972</v>
      </c>
      <c r="V93" s="39">
        <f>_xlfn.FLOOR.MATH((Characters!$J$15+Characters!$Q$15*(Floor!$F93-1))*5/2)</f>
        <v>972</v>
      </c>
      <c r="W93" s="39">
        <f>_xlfn.FLOOR.MATH((Characters!$J$16+Characters!$Q$16*(Floor!$F93-1))*5/2)</f>
        <v>972</v>
      </c>
      <c r="X93" s="39">
        <f>_xlfn.FLOOR.MATH((Characters!$J$17+Characters!$Q$17*(Floor!$F93-1))*5/2)</f>
        <v>972</v>
      </c>
      <c r="Y93" s="39">
        <f>_xlfn.FLOOR.MATH((Characters!$J$18+Characters!$Q$18*(Floor!$F93-1))*5/2)</f>
        <v>972</v>
      </c>
      <c r="Z93" s="39">
        <f>_xlfn.FLOOR.MATH((Characters!$J$19+Characters!$Q$19*(Floor!$F93-1))*5/2)</f>
        <v>972</v>
      </c>
      <c r="AA93" s="38">
        <f>_xlfn.FLOOR.MATH((Characters!$G$13+Characters!$N$13*(Floor!$F93-1))*10/2) + _xlfn.FLOOR.MATH((($AI93-1)*Characters!$P$13+Characters!$I$13)*5/2)</f>
        <v>898</v>
      </c>
      <c r="AB93" s="39">
        <f>_xlfn.FLOOR.MATH((Characters!$G$14+Characters!$N$14*(Floor!$F93-1))*10/2) + _xlfn.FLOOR.MATH((($AI93-1)*Characters!$P$14+Characters!$I$14)*5/2)</f>
        <v>898</v>
      </c>
      <c r="AC93" s="39">
        <f>_xlfn.FLOOR.MATH((Characters!$G$15+Characters!$N$15*(Floor!$F93-1))*10/2) + _xlfn.FLOOR.MATH((($AI93-1)*Characters!$P$15+Characters!$I$15)*5/2)</f>
        <v>898</v>
      </c>
      <c r="AD93" s="39">
        <f>_xlfn.FLOOR.MATH((Characters!$G$16+Characters!$N$16*(Floor!$F93-1))*10/2) + _xlfn.FLOOR.MATH((($AI93-1)*Characters!$P$16+Characters!$I$16)*5/2)</f>
        <v>898</v>
      </c>
      <c r="AE93" s="39">
        <f>_xlfn.FLOOR.MATH((Characters!$G$17+Characters!$N$17*(Floor!$F93-1))*10/2) + _xlfn.FLOOR.MATH((($AI93-1)*Characters!$P$17+Characters!$I$17)*5/2)</f>
        <v>898</v>
      </c>
      <c r="AF93" s="39">
        <f>_xlfn.FLOOR.MATH((Characters!$G$18+Characters!$N$18*(Floor!$F93-1))*10/2) + _xlfn.FLOOR.MATH((($AI93-1)*Characters!$P$18+Characters!$I$18)*5/2)</f>
        <v>898</v>
      </c>
      <c r="AG93" s="33">
        <f>_xlfn.FLOOR.MATH((Characters!$G$19+Characters!$N$19*(Floor!$F93-1))*10/2) + _xlfn.FLOOR.MATH((($AI93-1)*Characters!$P$19+Characters!$I$19)*5/2)</f>
        <v>898</v>
      </c>
      <c r="AH93" s="67"/>
      <c r="AI93" s="38">
        <v>86</v>
      </c>
      <c r="AJ93" s="71">
        <f t="shared" si="17"/>
        <v>7396.6</v>
      </c>
      <c r="AK93" s="105">
        <f t="shared" si="26"/>
        <v>215928.8</v>
      </c>
      <c r="AL93" s="38">
        <f>_xlfn.FLOOR.MATH(($AI93-1)*Characters!$M$7+Characters!$F$7)+$AK$5</f>
        <v>6950</v>
      </c>
      <c r="AM93" s="39">
        <f>_xlfn.FLOOR.MATH(($AI93-1)*Characters!$M$8+Characters!$F$8)+$AK$5</f>
        <v>8700</v>
      </c>
      <c r="AN93" s="39">
        <f>_xlfn.FLOOR.MATH(($AI93-1)*Characters!$M$9+Characters!$F$9)+$AK$5</f>
        <v>6455</v>
      </c>
      <c r="AO93" s="39">
        <f>_xlfn.FLOOR.MATH(($AI93-1)*Characters!$M$10+Characters!$F$10)+$AK$5</f>
        <v>7335</v>
      </c>
      <c r="AP93" s="39">
        <f>_xlfn.FLOOR.MATH(($AI93-1)*Characters!$M$11+Characters!$F$11)+$AK$5</f>
        <v>6455</v>
      </c>
      <c r="AQ93" s="39">
        <f>_xlfn.FLOOR.MATH(($AI93-1)*Characters!$M$12+Characters!$F$12)+$AK$5</f>
        <v>7760</v>
      </c>
      <c r="AR93" s="38">
        <f>_xlfn.FLOOR.MATH((($AI93-1)*Characters!$Q$7+Characters!$J$7+$AK$4)*5/2)</f>
        <v>208</v>
      </c>
      <c r="AS93" s="39">
        <f>_xlfn.FLOOR.MATH((($AI93-1)*Characters!$Q$8+Characters!$J$8+$AK$4)*5/2)</f>
        <v>237</v>
      </c>
      <c r="AT93" s="39">
        <f>_xlfn.FLOOR.MATH((($AI93-1)*Characters!$Q$9+Characters!$J$9+$AK$4)*5/2)</f>
        <v>168</v>
      </c>
      <c r="AU93" s="39">
        <f>_xlfn.FLOOR.MATH((($AI93-1)*Characters!$Q$10+Characters!$J$10+$AK$4)*5/2)</f>
        <v>211</v>
      </c>
      <c r="AV93" s="39">
        <f>_xlfn.FLOOR.MATH((($AI93-1)*Characters!$Q$11+Characters!$J$11+$AK$4)*5/2)</f>
        <v>166</v>
      </c>
      <c r="AW93" s="39">
        <f>_xlfn.FLOOR.MATH((($AI93-1)*Characters!$Q$12+Characters!$J$12+$AK$4)*5/2)</f>
        <v>237</v>
      </c>
      <c r="AX93" s="38">
        <f>_xlfn.FLOOR.MATH((($AI93-1)*Characters!$N$7+Characters!$G$7+$AK$2)*10/2) + _xlfn.FLOOR.MATH((($AI93-1)*Characters!$P$7+Characters!$I$7+$AK$3)*5/2)</f>
        <v>355</v>
      </c>
      <c r="AY93" s="39">
        <f>_xlfn.FLOOR.MATH((($AI93-1)*Characters!$N$8+Characters!$G$8+$AK$2)*10/2) + _xlfn.FLOOR.MATH((($AI93-1)*Characters!$P$8+Characters!$I$8+$AK$3)*5/2)</f>
        <v>462</v>
      </c>
      <c r="AZ93" s="39">
        <f>_xlfn.FLOOR.MATH((($AI93-1)*Characters!$N$9+Characters!$G$9+$AK$2)*10/2) + _xlfn.FLOOR.MATH((($AI93-1)*Characters!$P$9+Characters!$I$9+$AK$3)*5/2)</f>
        <v>183</v>
      </c>
      <c r="BA93" s="39">
        <f>_xlfn.FLOOR.MATH((($AI93-1)*Characters!$N$10+Characters!$G$10+$AK$2)*10/2) + _xlfn.FLOOR.MATH((($AI93-1)*Characters!$P$10+Characters!$I$10+$AK$3)*5/2)</f>
        <v>544</v>
      </c>
      <c r="BB93" s="39">
        <f>_xlfn.FLOOR.MATH((($AI93-1)*Characters!$N$11+Characters!$G$11+$AK$2)*10/2) + _xlfn.FLOOR.MATH((($AI93-1)*Characters!$P$11+Characters!$I$11+$AK$3)*5/2)</f>
        <v>207</v>
      </c>
      <c r="BC93" s="33">
        <f>_xlfn.FLOOR.MATH((($AI93-1)*Characters!$N$12+Characters!$G$12+$AK$2)*10/2) + _xlfn.FLOOR.MATH((($AI93-1)*Characters!$P$12+Characters!$I$12+$AK$3)*5/2)</f>
        <v>505</v>
      </c>
    </row>
    <row r="94" spans="1:55" ht="18" customHeight="1">
      <c r="A94" s="38">
        <v>87</v>
      </c>
      <c r="B94" s="20">
        <f t="shared" si="18"/>
        <v>23</v>
      </c>
      <c r="C94" s="20">
        <f t="shared" si="19"/>
        <v>21</v>
      </c>
      <c r="D94" s="52">
        <f t="shared" si="20"/>
        <v>42</v>
      </c>
      <c r="E94" s="52">
        <f t="shared" si="24"/>
        <v>126</v>
      </c>
      <c r="F94" s="67">
        <f t="shared" si="15"/>
        <v>130</v>
      </c>
      <c r="G94" s="52">
        <f t="shared" si="16"/>
        <v>2184.15</v>
      </c>
      <c r="H94" s="52">
        <f t="shared" si="21"/>
        <v>6552.4500000000007</v>
      </c>
      <c r="I94" s="52">
        <f t="shared" si="22"/>
        <v>4368.3</v>
      </c>
      <c r="J94" s="69">
        <f t="shared" si="25"/>
        <v>139035.70000000001</v>
      </c>
      <c r="K94" s="70">
        <f t="shared" si="23"/>
        <v>74</v>
      </c>
      <c r="L94" s="132"/>
      <c r="M94" s="38">
        <f>Characters!$F$13+((Characters!$M$13 )*(Floor!$F94-1))</f>
        <v>7890</v>
      </c>
      <c r="N94" s="39">
        <f>Characters!$F$14+((Characters!$M$14 )*(Floor!F94-1))</f>
        <v>7890</v>
      </c>
      <c r="O94" s="39">
        <f>Characters!$F$15+((Characters!$M$15 )*(Floor!$F94-1))</f>
        <v>7890</v>
      </c>
      <c r="P94" s="39">
        <f>Characters!$F$16+((Characters!$M$16 )*(Floor!$F94-1))</f>
        <v>7890</v>
      </c>
      <c r="Q94" s="39">
        <f>Characters!$F$17+((Characters!$M$17)*(Floor!$F94-1))</f>
        <v>7890</v>
      </c>
      <c r="R94" s="39">
        <f>Characters!$F$18+((Characters!$M$18 )*(Floor!$F94-1))</f>
        <v>7890</v>
      </c>
      <c r="S94" s="33">
        <f>Characters!$F$19+((Characters!$M$19 )*(Floor!$F94-1))</f>
        <v>7890</v>
      </c>
      <c r="T94" s="38">
        <f>_xlfn.FLOOR.MATH((Characters!$J$13+Characters!$Q$13*(Floor!$F94-1))*5/2)</f>
        <v>987</v>
      </c>
      <c r="U94" s="39">
        <f>_xlfn.FLOOR.MATH((Characters!$J$14+Characters!$Q$14*(Floor!$F94-1))*5/2)</f>
        <v>987</v>
      </c>
      <c r="V94" s="39">
        <f>_xlfn.FLOOR.MATH((Characters!$J$15+Characters!$Q$15*(Floor!$F94-1))*5/2)</f>
        <v>987</v>
      </c>
      <c r="W94" s="39">
        <f>_xlfn.FLOOR.MATH((Characters!$J$16+Characters!$Q$16*(Floor!$F94-1))*5/2)</f>
        <v>987</v>
      </c>
      <c r="X94" s="39">
        <f>_xlfn.FLOOR.MATH((Characters!$J$17+Characters!$Q$17*(Floor!$F94-1))*5/2)</f>
        <v>987</v>
      </c>
      <c r="Y94" s="39">
        <f>_xlfn.FLOOR.MATH((Characters!$J$18+Characters!$Q$18*(Floor!$F94-1))*5/2)</f>
        <v>987</v>
      </c>
      <c r="Z94" s="39">
        <f>_xlfn.FLOOR.MATH((Characters!$J$19+Characters!$Q$19*(Floor!$F94-1))*5/2)</f>
        <v>987</v>
      </c>
      <c r="AA94" s="38">
        <f>_xlfn.FLOOR.MATH((Characters!$G$13+Characters!$N$13*(Floor!$F94-1))*10/2) + _xlfn.FLOOR.MATH((($AI94-1)*Characters!$P$13+Characters!$I$13)*5/2)</f>
        <v>911</v>
      </c>
      <c r="AB94" s="39">
        <f>_xlfn.FLOOR.MATH((Characters!$G$14+Characters!$N$14*(Floor!$F94-1))*10/2) + _xlfn.FLOOR.MATH((($AI94-1)*Characters!$P$14+Characters!$I$14)*5/2)</f>
        <v>911</v>
      </c>
      <c r="AC94" s="39">
        <f>_xlfn.FLOOR.MATH((Characters!$G$15+Characters!$N$15*(Floor!$F94-1))*10/2) + _xlfn.FLOOR.MATH((($AI94-1)*Characters!$P$15+Characters!$I$15)*5/2)</f>
        <v>911</v>
      </c>
      <c r="AD94" s="39">
        <f>_xlfn.FLOOR.MATH((Characters!$G$16+Characters!$N$16*(Floor!$F94-1))*10/2) + _xlfn.FLOOR.MATH((($AI94-1)*Characters!$P$16+Characters!$I$16)*5/2)</f>
        <v>911</v>
      </c>
      <c r="AE94" s="39">
        <f>_xlfn.FLOOR.MATH((Characters!$G$17+Characters!$N$17*(Floor!$F94-1))*10/2) + _xlfn.FLOOR.MATH((($AI94-1)*Characters!$P$17+Characters!$I$17)*5/2)</f>
        <v>911</v>
      </c>
      <c r="AF94" s="39">
        <f>_xlfn.FLOOR.MATH((Characters!$G$18+Characters!$N$18*(Floor!$F94-1))*10/2) + _xlfn.FLOOR.MATH((($AI94-1)*Characters!$P$18+Characters!$I$18)*5/2)</f>
        <v>911</v>
      </c>
      <c r="AG94" s="33">
        <f>_xlfn.FLOOR.MATH((Characters!$G$19+Characters!$N$19*(Floor!$F94-1))*10/2) + _xlfn.FLOOR.MATH((($AI94-1)*Characters!$P$19+Characters!$I$19)*5/2)</f>
        <v>911</v>
      </c>
      <c r="AH94" s="67"/>
      <c r="AI94" s="38">
        <v>87</v>
      </c>
      <c r="AJ94" s="71">
        <f t="shared" si="17"/>
        <v>7569.56</v>
      </c>
      <c r="AK94" s="105">
        <f t="shared" si="26"/>
        <v>223498.36</v>
      </c>
      <c r="AL94" s="38">
        <f>_xlfn.FLOOR.MATH(($AI94-1)*Characters!$M$7+Characters!$F$7)+$AK$5</f>
        <v>6980</v>
      </c>
      <c r="AM94" s="39">
        <f>_xlfn.FLOOR.MATH(($AI94-1)*Characters!$M$8+Characters!$F$8)+$AK$5</f>
        <v>8750</v>
      </c>
      <c r="AN94" s="39">
        <f>_xlfn.FLOOR.MATH(($AI94-1)*Characters!$M$9+Characters!$F$9)+$AK$5</f>
        <v>6480</v>
      </c>
      <c r="AO94" s="39">
        <f>_xlfn.FLOOR.MATH(($AI94-1)*Characters!$M$10+Characters!$F$10)+$AK$5</f>
        <v>7370</v>
      </c>
      <c r="AP94" s="39">
        <f>_xlfn.FLOOR.MATH(($AI94-1)*Characters!$M$11+Characters!$F$11)+$AK$5</f>
        <v>6480</v>
      </c>
      <c r="AQ94" s="39">
        <f>_xlfn.FLOOR.MATH(($AI94-1)*Characters!$M$12+Characters!$F$12)+$AK$5</f>
        <v>7800</v>
      </c>
      <c r="AR94" s="38">
        <f>_xlfn.FLOOR.MATH((($AI94-1)*Characters!$Q$7+Characters!$J$7+$AK$4)*5/2)</f>
        <v>210</v>
      </c>
      <c r="AS94" s="39">
        <f>_xlfn.FLOOR.MATH((($AI94-1)*Characters!$Q$8+Characters!$J$8+$AK$4)*5/2)</f>
        <v>239</v>
      </c>
      <c r="AT94" s="39">
        <f>_xlfn.FLOOR.MATH((($AI94-1)*Characters!$Q$9+Characters!$J$9+$AK$4)*5/2)</f>
        <v>169</v>
      </c>
      <c r="AU94" s="39">
        <f>_xlfn.FLOOR.MATH((($AI94-1)*Characters!$Q$10+Characters!$J$10+$AK$4)*5/2)</f>
        <v>212</v>
      </c>
      <c r="AV94" s="39">
        <f>_xlfn.FLOOR.MATH((($AI94-1)*Characters!$Q$11+Characters!$J$11+$AK$4)*5/2)</f>
        <v>167</v>
      </c>
      <c r="AW94" s="39">
        <f>_xlfn.FLOOR.MATH((($AI94-1)*Characters!$Q$12+Characters!$J$12+$AK$4)*5/2)</f>
        <v>239</v>
      </c>
      <c r="AX94" s="38">
        <f>_xlfn.FLOOR.MATH((($AI94-1)*Characters!$N$7+Characters!$G$7+$AK$2)*10/2) + _xlfn.FLOOR.MATH((($AI94-1)*Characters!$P$7+Characters!$I$7+$AK$3)*5/2)</f>
        <v>360</v>
      </c>
      <c r="AY94" s="39">
        <f>_xlfn.FLOOR.MATH((($AI94-1)*Characters!$N$8+Characters!$G$8+$AK$2)*10/2) + _xlfn.FLOOR.MATH((($AI94-1)*Characters!$P$8+Characters!$I$8+$AK$3)*5/2)</f>
        <v>467</v>
      </c>
      <c r="AZ94" s="39">
        <f>_xlfn.FLOOR.MATH((($AI94-1)*Characters!$N$9+Characters!$G$9+$AK$2)*10/2) + _xlfn.FLOOR.MATH((($AI94-1)*Characters!$P$9+Characters!$I$9+$AK$3)*5/2)</f>
        <v>185</v>
      </c>
      <c r="BA94" s="39">
        <f>_xlfn.FLOOR.MATH((($AI94-1)*Characters!$N$10+Characters!$G$10+$AK$2)*10/2) + _xlfn.FLOOR.MATH((($AI94-1)*Characters!$P$10+Characters!$I$10+$AK$3)*5/2)</f>
        <v>550</v>
      </c>
      <c r="BB94" s="39">
        <f>_xlfn.FLOOR.MATH((($AI94-1)*Characters!$N$11+Characters!$G$11+$AK$2)*10/2) + _xlfn.FLOOR.MATH((($AI94-1)*Characters!$P$11+Characters!$I$11+$AK$3)*5/2)</f>
        <v>209</v>
      </c>
      <c r="BC94" s="33">
        <f>_xlfn.FLOOR.MATH((($AI94-1)*Characters!$N$12+Characters!$G$12+$AK$2)*10/2) + _xlfn.FLOOR.MATH((($AI94-1)*Characters!$P$12+Characters!$I$12+$AK$3)*5/2)</f>
        <v>510</v>
      </c>
    </row>
    <row r="95" spans="1:55" ht="18" customHeight="1">
      <c r="A95" s="38">
        <v>88</v>
      </c>
      <c r="B95" s="20">
        <f t="shared" si="18"/>
        <v>23</v>
      </c>
      <c r="C95" s="20">
        <f t="shared" si="19"/>
        <v>21</v>
      </c>
      <c r="D95" s="52">
        <f t="shared" si="20"/>
        <v>42</v>
      </c>
      <c r="E95" s="52">
        <f t="shared" si="24"/>
        <v>126</v>
      </c>
      <c r="F95" s="67">
        <f t="shared" si="15"/>
        <v>131</v>
      </c>
      <c r="G95" s="52">
        <f t="shared" si="16"/>
        <v>2200.9500000000003</v>
      </c>
      <c r="H95" s="52">
        <f t="shared" si="21"/>
        <v>6602.85</v>
      </c>
      <c r="I95" s="52">
        <f t="shared" si="22"/>
        <v>4401.9000000000005</v>
      </c>
      <c r="J95" s="69">
        <f t="shared" si="25"/>
        <v>143437.6</v>
      </c>
      <c r="K95" s="70">
        <f t="shared" si="23"/>
        <v>74</v>
      </c>
      <c r="L95" s="132"/>
      <c r="M95" s="38">
        <f>Characters!$F$13+((Characters!$M$13 )*(Floor!$F95-1))</f>
        <v>7950</v>
      </c>
      <c r="N95" s="39">
        <f>Characters!$F$14+((Characters!$M$14 )*(Floor!F95-1))</f>
        <v>7950</v>
      </c>
      <c r="O95" s="39">
        <f>Characters!$F$15+((Characters!$M$15 )*(Floor!$F95-1))</f>
        <v>7950</v>
      </c>
      <c r="P95" s="39">
        <f>Characters!$F$16+((Characters!$M$16 )*(Floor!$F95-1))</f>
        <v>7950</v>
      </c>
      <c r="Q95" s="39">
        <f>Characters!$F$17+((Characters!$M$17)*(Floor!$F95-1))</f>
        <v>7950</v>
      </c>
      <c r="R95" s="39">
        <f>Characters!$F$18+((Characters!$M$18 )*(Floor!$F95-1))</f>
        <v>7950</v>
      </c>
      <c r="S95" s="33">
        <f>Characters!$F$19+((Characters!$M$19 )*(Floor!$F95-1))</f>
        <v>7950</v>
      </c>
      <c r="T95" s="38">
        <f>_xlfn.FLOOR.MATH((Characters!$J$13+Characters!$Q$13*(Floor!$F95-1))*5/2)</f>
        <v>995</v>
      </c>
      <c r="U95" s="39">
        <f>_xlfn.FLOOR.MATH((Characters!$J$14+Characters!$Q$14*(Floor!$F95-1))*5/2)</f>
        <v>995</v>
      </c>
      <c r="V95" s="39">
        <f>_xlfn.FLOOR.MATH((Characters!$J$15+Characters!$Q$15*(Floor!$F95-1))*5/2)</f>
        <v>995</v>
      </c>
      <c r="W95" s="39">
        <f>_xlfn.FLOOR.MATH((Characters!$J$16+Characters!$Q$16*(Floor!$F95-1))*5/2)</f>
        <v>995</v>
      </c>
      <c r="X95" s="39">
        <f>_xlfn.FLOOR.MATH((Characters!$J$17+Characters!$Q$17*(Floor!$F95-1))*5/2)</f>
        <v>995</v>
      </c>
      <c r="Y95" s="39">
        <f>_xlfn.FLOOR.MATH((Characters!$J$18+Characters!$Q$18*(Floor!$F95-1))*5/2)</f>
        <v>995</v>
      </c>
      <c r="Z95" s="39">
        <f>_xlfn.FLOOR.MATH((Characters!$J$19+Characters!$Q$19*(Floor!$F95-1))*5/2)</f>
        <v>995</v>
      </c>
      <c r="AA95" s="38">
        <f>_xlfn.FLOOR.MATH((Characters!$G$13+Characters!$N$13*(Floor!$F95-1))*10/2) + _xlfn.FLOOR.MATH((($AI95-1)*Characters!$P$13+Characters!$I$13)*5/2)</f>
        <v>918</v>
      </c>
      <c r="AB95" s="39">
        <f>_xlfn.FLOOR.MATH((Characters!$G$14+Characters!$N$14*(Floor!$F95-1))*10/2) + _xlfn.FLOOR.MATH((($AI95-1)*Characters!$P$14+Characters!$I$14)*5/2)</f>
        <v>918</v>
      </c>
      <c r="AC95" s="39">
        <f>_xlfn.FLOOR.MATH((Characters!$G$15+Characters!$N$15*(Floor!$F95-1))*10/2) + _xlfn.FLOOR.MATH((($AI95-1)*Characters!$P$15+Characters!$I$15)*5/2)</f>
        <v>918</v>
      </c>
      <c r="AD95" s="39">
        <f>_xlfn.FLOOR.MATH((Characters!$G$16+Characters!$N$16*(Floor!$F95-1))*10/2) + _xlfn.FLOOR.MATH((($AI95-1)*Characters!$P$16+Characters!$I$16)*5/2)</f>
        <v>918</v>
      </c>
      <c r="AE95" s="39">
        <f>_xlfn.FLOOR.MATH((Characters!$G$17+Characters!$N$17*(Floor!$F95-1))*10/2) + _xlfn.FLOOR.MATH((($AI95-1)*Characters!$P$17+Characters!$I$17)*5/2)</f>
        <v>918</v>
      </c>
      <c r="AF95" s="39">
        <f>_xlfn.FLOOR.MATH((Characters!$G$18+Characters!$N$18*(Floor!$F95-1))*10/2) + _xlfn.FLOOR.MATH((($AI95-1)*Characters!$P$18+Characters!$I$18)*5/2)</f>
        <v>918</v>
      </c>
      <c r="AG95" s="33">
        <f>_xlfn.FLOOR.MATH((Characters!$G$19+Characters!$N$19*(Floor!$F95-1))*10/2) + _xlfn.FLOOR.MATH((($AI95-1)*Characters!$P$19+Characters!$I$19)*5/2)</f>
        <v>918</v>
      </c>
      <c r="AH95" s="67"/>
      <c r="AI95" s="38">
        <v>88</v>
      </c>
      <c r="AJ95" s="71">
        <f t="shared" si="17"/>
        <v>7744.5199999999995</v>
      </c>
      <c r="AK95" s="105">
        <f t="shared" si="26"/>
        <v>231242.87999999998</v>
      </c>
      <c r="AL95" s="38">
        <f>_xlfn.FLOOR.MATH(($AI95-1)*Characters!$M$7+Characters!$F$7)+$AK$5</f>
        <v>7010</v>
      </c>
      <c r="AM95" s="39">
        <f>_xlfn.FLOOR.MATH(($AI95-1)*Characters!$M$8+Characters!$F$8)+$AK$5</f>
        <v>8800</v>
      </c>
      <c r="AN95" s="39">
        <f>_xlfn.FLOOR.MATH(($AI95-1)*Characters!$M$9+Characters!$F$9)+$AK$5</f>
        <v>6505</v>
      </c>
      <c r="AO95" s="39">
        <f>_xlfn.FLOOR.MATH(($AI95-1)*Characters!$M$10+Characters!$F$10)+$AK$5</f>
        <v>7405</v>
      </c>
      <c r="AP95" s="39">
        <f>_xlfn.FLOOR.MATH(($AI95-1)*Characters!$M$11+Characters!$F$11)+$AK$5</f>
        <v>6505</v>
      </c>
      <c r="AQ95" s="39">
        <f>_xlfn.FLOOR.MATH(($AI95-1)*Characters!$M$12+Characters!$F$12)+$AK$5</f>
        <v>7840</v>
      </c>
      <c r="AR95" s="38">
        <f>_xlfn.FLOOR.MATH((($AI95-1)*Characters!$Q$7+Characters!$J$7+$AK$4)*5/2)</f>
        <v>211</v>
      </c>
      <c r="AS95" s="39">
        <f>_xlfn.FLOOR.MATH((($AI95-1)*Characters!$Q$8+Characters!$J$8+$AK$4)*5/2)</f>
        <v>240</v>
      </c>
      <c r="AT95" s="39">
        <f>_xlfn.FLOOR.MATH((($AI95-1)*Characters!$Q$9+Characters!$J$9+$AK$4)*5/2)</f>
        <v>170</v>
      </c>
      <c r="AU95" s="39">
        <f>_xlfn.FLOOR.MATH((($AI95-1)*Characters!$Q$10+Characters!$J$10+$AK$4)*5/2)</f>
        <v>213</v>
      </c>
      <c r="AV95" s="39">
        <f>_xlfn.FLOOR.MATH((($AI95-1)*Characters!$Q$11+Characters!$J$11+$AK$4)*5/2)</f>
        <v>167</v>
      </c>
      <c r="AW95" s="39">
        <f>_xlfn.FLOOR.MATH((($AI95-1)*Characters!$Q$12+Characters!$J$12+$AK$4)*5/2)</f>
        <v>240</v>
      </c>
      <c r="AX95" s="38">
        <f>_xlfn.FLOOR.MATH((($AI95-1)*Characters!$N$7+Characters!$G$7+$AK$2)*10/2) + _xlfn.FLOOR.MATH((($AI95-1)*Characters!$P$7+Characters!$I$7+$AK$3)*5/2)</f>
        <v>363</v>
      </c>
      <c r="AY95" s="39">
        <f>_xlfn.FLOOR.MATH((($AI95-1)*Characters!$N$8+Characters!$G$8+$AK$2)*10/2) + _xlfn.FLOOR.MATH((($AI95-1)*Characters!$P$8+Characters!$I$8+$AK$3)*5/2)</f>
        <v>471</v>
      </c>
      <c r="AZ95" s="39">
        <f>_xlfn.FLOOR.MATH((($AI95-1)*Characters!$N$9+Characters!$G$9+$AK$2)*10/2) + _xlfn.FLOOR.MATH((($AI95-1)*Characters!$P$9+Characters!$I$9+$AK$3)*5/2)</f>
        <v>187</v>
      </c>
      <c r="BA95" s="39">
        <f>_xlfn.FLOOR.MATH((($AI95-1)*Characters!$N$10+Characters!$G$10+$AK$2)*10/2) + _xlfn.FLOOR.MATH((($AI95-1)*Characters!$P$10+Characters!$I$10+$AK$3)*5/2)</f>
        <v>555</v>
      </c>
      <c r="BB95" s="39">
        <f>_xlfn.FLOOR.MATH((($AI95-1)*Characters!$N$11+Characters!$G$11+$AK$2)*10/2) + _xlfn.FLOOR.MATH((($AI95-1)*Characters!$P$11+Characters!$I$11+$AK$3)*5/2)</f>
        <v>211</v>
      </c>
      <c r="BC95" s="33">
        <f>_xlfn.FLOOR.MATH((($AI95-1)*Characters!$N$12+Characters!$G$12+$AK$2)*10/2) + _xlfn.FLOOR.MATH((($AI95-1)*Characters!$P$12+Characters!$I$12+$AK$3)*5/2)</f>
        <v>515</v>
      </c>
    </row>
    <row r="96" spans="1:55" ht="18" customHeight="1">
      <c r="A96" s="38">
        <v>89</v>
      </c>
      <c r="B96" s="20">
        <f t="shared" si="18"/>
        <v>23</v>
      </c>
      <c r="C96" s="20">
        <f t="shared" si="19"/>
        <v>21</v>
      </c>
      <c r="D96" s="52">
        <f t="shared" si="20"/>
        <v>42</v>
      </c>
      <c r="E96" s="52">
        <f t="shared" si="24"/>
        <v>126</v>
      </c>
      <c r="F96" s="67">
        <f t="shared" si="15"/>
        <v>133</v>
      </c>
      <c r="G96" s="52">
        <f t="shared" si="16"/>
        <v>2234.5500000000002</v>
      </c>
      <c r="H96" s="52">
        <f t="shared" si="21"/>
        <v>6703.6500000000005</v>
      </c>
      <c r="I96" s="52">
        <f t="shared" si="22"/>
        <v>4469.1000000000004</v>
      </c>
      <c r="J96" s="69">
        <f t="shared" si="25"/>
        <v>147906.70000000001</v>
      </c>
      <c r="K96" s="70">
        <f t="shared" si="23"/>
        <v>75</v>
      </c>
      <c r="L96" s="132"/>
      <c r="M96" s="38">
        <f>Characters!$F$13+((Characters!$M$13 )*(Floor!$F96-1))</f>
        <v>8070</v>
      </c>
      <c r="N96" s="39">
        <f>Characters!$F$14+((Characters!$M$14 )*(Floor!F96-1))</f>
        <v>8070</v>
      </c>
      <c r="O96" s="39">
        <f>Characters!$F$15+((Characters!$M$15 )*(Floor!$F96-1))</f>
        <v>8070</v>
      </c>
      <c r="P96" s="39">
        <f>Characters!$F$16+((Characters!$M$16 )*(Floor!$F96-1))</f>
        <v>8070</v>
      </c>
      <c r="Q96" s="39">
        <f>Characters!$F$17+((Characters!$M$17)*(Floor!$F96-1))</f>
        <v>8070</v>
      </c>
      <c r="R96" s="39">
        <f>Characters!$F$18+((Characters!$M$18 )*(Floor!$F96-1))</f>
        <v>8070</v>
      </c>
      <c r="S96" s="33">
        <f>Characters!$F$19+((Characters!$M$19 )*(Floor!$F96-1))</f>
        <v>8070</v>
      </c>
      <c r="T96" s="38">
        <f>_xlfn.FLOOR.MATH((Characters!$J$13+Characters!$Q$13*(Floor!$F96-1))*5/2)</f>
        <v>1010</v>
      </c>
      <c r="U96" s="39">
        <f>_xlfn.FLOOR.MATH((Characters!$J$14+Characters!$Q$14*(Floor!$F96-1))*5/2)</f>
        <v>1010</v>
      </c>
      <c r="V96" s="39">
        <f>_xlfn.FLOOR.MATH((Characters!$J$15+Characters!$Q$15*(Floor!$F96-1))*5/2)</f>
        <v>1010</v>
      </c>
      <c r="W96" s="39">
        <f>_xlfn.FLOOR.MATH((Characters!$J$16+Characters!$Q$16*(Floor!$F96-1))*5/2)</f>
        <v>1010</v>
      </c>
      <c r="X96" s="39">
        <f>_xlfn.FLOOR.MATH((Characters!$J$17+Characters!$Q$17*(Floor!$F96-1))*5/2)</f>
        <v>1010</v>
      </c>
      <c r="Y96" s="39">
        <f>_xlfn.FLOOR.MATH((Characters!$J$18+Characters!$Q$18*(Floor!$F96-1))*5/2)</f>
        <v>1010</v>
      </c>
      <c r="Z96" s="39">
        <f>_xlfn.FLOOR.MATH((Characters!$J$19+Characters!$Q$19*(Floor!$F96-1))*5/2)</f>
        <v>1010</v>
      </c>
      <c r="AA96" s="38">
        <f>_xlfn.FLOOR.MATH((Characters!$G$13+Characters!$N$13*(Floor!$F96-1))*10/2) + _xlfn.FLOOR.MATH((($AI96-1)*Characters!$P$13+Characters!$I$13)*5/2)</f>
        <v>932</v>
      </c>
      <c r="AB96" s="39">
        <f>_xlfn.FLOOR.MATH((Characters!$G$14+Characters!$N$14*(Floor!$F96-1))*10/2) + _xlfn.FLOOR.MATH((($AI96-1)*Characters!$P$14+Characters!$I$14)*5/2)</f>
        <v>932</v>
      </c>
      <c r="AC96" s="39">
        <f>_xlfn.FLOOR.MATH((Characters!$G$15+Characters!$N$15*(Floor!$F96-1))*10/2) + _xlfn.FLOOR.MATH((($AI96-1)*Characters!$P$15+Characters!$I$15)*5/2)</f>
        <v>932</v>
      </c>
      <c r="AD96" s="39">
        <f>_xlfn.FLOOR.MATH((Characters!$G$16+Characters!$N$16*(Floor!$F96-1))*10/2) + _xlfn.FLOOR.MATH((($AI96-1)*Characters!$P$16+Characters!$I$16)*5/2)</f>
        <v>932</v>
      </c>
      <c r="AE96" s="39">
        <f>_xlfn.FLOOR.MATH((Characters!$G$17+Characters!$N$17*(Floor!$F96-1))*10/2) + _xlfn.FLOOR.MATH((($AI96-1)*Characters!$P$17+Characters!$I$17)*5/2)</f>
        <v>932</v>
      </c>
      <c r="AF96" s="39">
        <f>_xlfn.FLOOR.MATH((Characters!$G$18+Characters!$N$18*(Floor!$F96-1))*10/2) + _xlfn.FLOOR.MATH((($AI96-1)*Characters!$P$18+Characters!$I$18)*5/2)</f>
        <v>932</v>
      </c>
      <c r="AG96" s="33">
        <f>_xlfn.FLOOR.MATH((Characters!$G$19+Characters!$N$19*(Floor!$F96-1))*10/2) + _xlfn.FLOOR.MATH((($AI96-1)*Characters!$P$19+Characters!$I$19)*5/2)</f>
        <v>932</v>
      </c>
      <c r="AH96" s="67"/>
      <c r="AI96" s="38">
        <v>89</v>
      </c>
      <c r="AJ96" s="71">
        <f t="shared" si="17"/>
        <v>7921.48</v>
      </c>
      <c r="AK96" s="105">
        <f t="shared" si="26"/>
        <v>239164.36</v>
      </c>
      <c r="AL96" s="38">
        <f>_xlfn.FLOOR.MATH(($AI96-1)*Characters!$M$7+Characters!$F$7)+$AK$5</f>
        <v>7040</v>
      </c>
      <c r="AM96" s="39">
        <f>_xlfn.FLOOR.MATH(($AI96-1)*Characters!$M$8+Characters!$F$8)+$AK$5</f>
        <v>8850</v>
      </c>
      <c r="AN96" s="39">
        <f>_xlfn.FLOOR.MATH(($AI96-1)*Characters!$M$9+Characters!$F$9)+$AK$5</f>
        <v>6530</v>
      </c>
      <c r="AO96" s="39">
        <f>_xlfn.FLOOR.MATH(($AI96-1)*Characters!$M$10+Characters!$F$10)+$AK$5</f>
        <v>7440</v>
      </c>
      <c r="AP96" s="39">
        <f>_xlfn.FLOOR.MATH(($AI96-1)*Characters!$M$11+Characters!$F$11)+$AK$5</f>
        <v>6530</v>
      </c>
      <c r="AQ96" s="39">
        <f>_xlfn.FLOOR.MATH(($AI96-1)*Characters!$M$12+Characters!$F$12)+$AK$5</f>
        <v>7880</v>
      </c>
      <c r="AR96" s="38">
        <f>_xlfn.FLOOR.MATH((($AI96-1)*Characters!$Q$7+Characters!$J$7+$AK$4)*5/2)</f>
        <v>212</v>
      </c>
      <c r="AS96" s="39">
        <f>_xlfn.FLOOR.MATH((($AI96-1)*Characters!$Q$8+Characters!$J$8+$AK$4)*5/2)</f>
        <v>242</v>
      </c>
      <c r="AT96" s="39">
        <f>_xlfn.FLOOR.MATH((($AI96-1)*Characters!$Q$9+Characters!$J$9+$AK$4)*5/2)</f>
        <v>171</v>
      </c>
      <c r="AU96" s="39">
        <f>_xlfn.FLOOR.MATH((($AI96-1)*Characters!$Q$10+Characters!$J$10+$AK$4)*5/2)</f>
        <v>215</v>
      </c>
      <c r="AV96" s="39">
        <f>_xlfn.FLOOR.MATH((($AI96-1)*Characters!$Q$11+Characters!$J$11+$AK$4)*5/2)</f>
        <v>168</v>
      </c>
      <c r="AW96" s="39">
        <f>_xlfn.FLOOR.MATH((($AI96-1)*Characters!$Q$12+Characters!$J$12+$AK$4)*5/2)</f>
        <v>242</v>
      </c>
      <c r="AX96" s="38">
        <f>_xlfn.FLOOR.MATH((($AI96-1)*Characters!$N$7+Characters!$G$7+$AK$2)*10/2) + _xlfn.FLOOR.MATH((($AI96-1)*Characters!$P$7+Characters!$I$7+$AK$3)*5/2)</f>
        <v>367</v>
      </c>
      <c r="AY96" s="39">
        <f>_xlfn.FLOOR.MATH((($AI96-1)*Characters!$N$8+Characters!$G$8+$AK$2)*10/2) + _xlfn.FLOOR.MATH((($AI96-1)*Characters!$P$8+Characters!$I$8+$AK$3)*5/2)</f>
        <v>476</v>
      </c>
      <c r="AZ96" s="39">
        <f>_xlfn.FLOOR.MATH((($AI96-1)*Characters!$N$9+Characters!$G$9+$AK$2)*10/2) + _xlfn.FLOOR.MATH((($AI96-1)*Characters!$P$9+Characters!$I$9+$AK$3)*5/2)</f>
        <v>189</v>
      </c>
      <c r="BA96" s="39">
        <f>_xlfn.FLOOR.MATH((($AI96-1)*Characters!$N$10+Characters!$G$10+$AK$2)*10/2) + _xlfn.FLOOR.MATH((($AI96-1)*Characters!$P$10+Characters!$I$10+$AK$3)*5/2)</f>
        <v>561</v>
      </c>
      <c r="BB96" s="39">
        <f>_xlfn.FLOOR.MATH((($AI96-1)*Characters!$N$11+Characters!$G$11+$AK$2)*10/2) + _xlfn.FLOOR.MATH((($AI96-1)*Characters!$P$11+Characters!$I$11+$AK$3)*5/2)</f>
        <v>213</v>
      </c>
      <c r="BC96" s="33">
        <f>_xlfn.FLOOR.MATH((($AI96-1)*Characters!$N$12+Characters!$G$12+$AK$2)*10/2) + _xlfn.FLOOR.MATH((($AI96-1)*Characters!$P$12+Characters!$I$12+$AK$3)*5/2)</f>
        <v>520</v>
      </c>
    </row>
    <row r="97" spans="1:55" ht="18" customHeight="1">
      <c r="A97" s="38">
        <v>90</v>
      </c>
      <c r="B97" s="20">
        <f t="shared" si="18"/>
        <v>24</v>
      </c>
      <c r="C97" s="20">
        <f t="shared" si="19"/>
        <v>22</v>
      </c>
      <c r="D97" s="52">
        <f t="shared" si="20"/>
        <v>44</v>
      </c>
      <c r="E97" s="52">
        <f t="shared" si="24"/>
        <v>132</v>
      </c>
      <c r="F97" s="67">
        <f t="shared" si="15"/>
        <v>134</v>
      </c>
      <c r="G97" s="52">
        <f t="shared" si="16"/>
        <v>2358.5500000000002</v>
      </c>
      <c r="H97" s="52">
        <f t="shared" si="21"/>
        <v>7075.6500000000005</v>
      </c>
      <c r="I97" s="52">
        <f t="shared" si="22"/>
        <v>4717.1000000000004</v>
      </c>
      <c r="J97" s="69">
        <f t="shared" si="25"/>
        <v>152623.80000000002</v>
      </c>
      <c r="K97" s="70">
        <f t="shared" si="23"/>
        <v>76</v>
      </c>
      <c r="L97" s="132"/>
      <c r="M97" s="38">
        <f>Characters!$F$13+((Characters!$M$13 )*(Floor!$F97-1))</f>
        <v>8130</v>
      </c>
      <c r="N97" s="39">
        <f>Characters!$F$14+((Characters!$M$14 )*(Floor!F97-1))</f>
        <v>8130</v>
      </c>
      <c r="O97" s="39">
        <f>Characters!$F$15+((Characters!$M$15 )*(Floor!$F97-1))</f>
        <v>8130</v>
      </c>
      <c r="P97" s="39">
        <f>Characters!$F$16+((Characters!$M$16 )*(Floor!$F97-1))</f>
        <v>8130</v>
      </c>
      <c r="Q97" s="39">
        <f>Characters!$F$17+((Characters!$M$17)*(Floor!$F97-1))</f>
        <v>8130</v>
      </c>
      <c r="R97" s="39">
        <f>Characters!$F$18+((Characters!$M$18 )*(Floor!$F97-1))</f>
        <v>8130</v>
      </c>
      <c r="S97" s="33">
        <f>Characters!$F$19+((Characters!$M$19 )*(Floor!$F97-1))</f>
        <v>8130</v>
      </c>
      <c r="T97" s="38">
        <f>_xlfn.FLOOR.MATH((Characters!$J$13+Characters!$Q$13*(Floor!$F97-1))*5/2)</f>
        <v>1017</v>
      </c>
      <c r="U97" s="39">
        <f>_xlfn.FLOOR.MATH((Characters!$J$14+Characters!$Q$14*(Floor!$F97-1))*5/2)</f>
        <v>1017</v>
      </c>
      <c r="V97" s="39">
        <f>_xlfn.FLOOR.MATH((Characters!$J$15+Characters!$Q$15*(Floor!$F97-1))*5/2)</f>
        <v>1017</v>
      </c>
      <c r="W97" s="39">
        <f>_xlfn.FLOOR.MATH((Characters!$J$16+Characters!$Q$16*(Floor!$F97-1))*5/2)</f>
        <v>1017</v>
      </c>
      <c r="X97" s="39">
        <f>_xlfn.FLOOR.MATH((Characters!$J$17+Characters!$Q$17*(Floor!$F97-1))*5/2)</f>
        <v>1017</v>
      </c>
      <c r="Y97" s="39">
        <f>_xlfn.FLOOR.MATH((Characters!$J$18+Characters!$Q$18*(Floor!$F97-1))*5/2)</f>
        <v>1017</v>
      </c>
      <c r="Z97" s="39">
        <f>_xlfn.FLOOR.MATH((Characters!$J$19+Characters!$Q$19*(Floor!$F97-1))*5/2)</f>
        <v>1017</v>
      </c>
      <c r="AA97" s="38">
        <f>_xlfn.FLOOR.MATH((Characters!$G$13+Characters!$N$13*(Floor!$F97-1))*10/2) + _xlfn.FLOOR.MATH((($AI97-1)*Characters!$P$13+Characters!$I$13)*5/2)</f>
        <v>939</v>
      </c>
      <c r="AB97" s="39">
        <f>_xlfn.FLOOR.MATH((Characters!$G$14+Characters!$N$14*(Floor!$F97-1))*10/2) + _xlfn.FLOOR.MATH((($AI97-1)*Characters!$P$14+Characters!$I$14)*5/2)</f>
        <v>939</v>
      </c>
      <c r="AC97" s="39">
        <f>_xlfn.FLOOR.MATH((Characters!$G$15+Characters!$N$15*(Floor!$F97-1))*10/2) + _xlfn.FLOOR.MATH((($AI97-1)*Characters!$P$15+Characters!$I$15)*5/2)</f>
        <v>939</v>
      </c>
      <c r="AD97" s="39">
        <f>_xlfn.FLOOR.MATH((Characters!$G$16+Characters!$N$16*(Floor!$F97-1))*10/2) + _xlfn.FLOOR.MATH((($AI97-1)*Characters!$P$16+Characters!$I$16)*5/2)</f>
        <v>939</v>
      </c>
      <c r="AE97" s="39">
        <f>_xlfn.FLOOR.MATH((Characters!$G$17+Characters!$N$17*(Floor!$F97-1))*10/2) + _xlfn.FLOOR.MATH((($AI97-1)*Characters!$P$17+Characters!$I$17)*5/2)</f>
        <v>939</v>
      </c>
      <c r="AF97" s="39">
        <f>_xlfn.FLOOR.MATH((Characters!$G$18+Characters!$N$18*(Floor!$F97-1))*10/2) + _xlfn.FLOOR.MATH((($AI97-1)*Characters!$P$18+Characters!$I$18)*5/2)</f>
        <v>939</v>
      </c>
      <c r="AG97" s="33">
        <f>_xlfn.FLOOR.MATH((Characters!$G$19+Characters!$N$19*(Floor!$F97-1))*10/2) + _xlfn.FLOOR.MATH((($AI97-1)*Characters!$P$19+Characters!$I$19)*5/2)</f>
        <v>939</v>
      </c>
      <c r="AH97" s="67"/>
      <c r="AI97" s="38">
        <v>90</v>
      </c>
      <c r="AJ97" s="71">
        <f t="shared" si="17"/>
        <v>8100.44</v>
      </c>
      <c r="AK97" s="105">
        <f t="shared" si="26"/>
        <v>247264.8</v>
      </c>
      <c r="AL97" s="38">
        <f>_xlfn.FLOOR.MATH(($AI97-1)*Characters!$M$7+Characters!$F$7)+$AK$5</f>
        <v>7070</v>
      </c>
      <c r="AM97" s="39">
        <f>_xlfn.FLOOR.MATH(($AI97-1)*Characters!$M$8+Characters!$F$8)+$AK$5</f>
        <v>8900</v>
      </c>
      <c r="AN97" s="39">
        <f>_xlfn.FLOOR.MATH(($AI97-1)*Characters!$M$9+Characters!$F$9)+$AK$5</f>
        <v>6555</v>
      </c>
      <c r="AO97" s="39">
        <f>_xlfn.FLOOR.MATH(($AI97-1)*Characters!$M$10+Characters!$F$10)+$AK$5</f>
        <v>7475</v>
      </c>
      <c r="AP97" s="39">
        <f>_xlfn.FLOOR.MATH(($AI97-1)*Characters!$M$11+Characters!$F$11)+$AK$5</f>
        <v>6555</v>
      </c>
      <c r="AQ97" s="39">
        <f>_xlfn.FLOOR.MATH(($AI97-1)*Characters!$M$12+Characters!$F$12)+$AK$5</f>
        <v>7920</v>
      </c>
      <c r="AR97" s="38">
        <f>_xlfn.FLOOR.MATH((($AI97-1)*Characters!$Q$7+Characters!$J$7+$AK$4)*5/2)</f>
        <v>213</v>
      </c>
      <c r="AS97" s="39">
        <f>_xlfn.FLOOR.MATH((($AI97-1)*Characters!$Q$8+Characters!$J$8+$AK$4)*5/2)</f>
        <v>243</v>
      </c>
      <c r="AT97" s="39">
        <f>_xlfn.FLOOR.MATH((($AI97-1)*Characters!$Q$9+Characters!$J$9+$AK$4)*5/2)</f>
        <v>171</v>
      </c>
      <c r="AU97" s="39">
        <f>_xlfn.FLOOR.MATH((($AI97-1)*Characters!$Q$10+Characters!$J$10+$AK$4)*5/2)</f>
        <v>216</v>
      </c>
      <c r="AV97" s="39">
        <f>_xlfn.FLOOR.MATH((($AI97-1)*Characters!$Q$11+Characters!$J$11+$AK$4)*5/2)</f>
        <v>169</v>
      </c>
      <c r="AW97" s="39">
        <f>_xlfn.FLOOR.MATH((($AI97-1)*Characters!$Q$12+Characters!$J$12+$AK$4)*5/2)</f>
        <v>243</v>
      </c>
      <c r="AX97" s="38">
        <f>_xlfn.FLOOR.MATH((($AI97-1)*Characters!$N$7+Characters!$G$7+$AK$2)*10/2) + _xlfn.FLOOR.MATH((($AI97-1)*Characters!$P$7+Characters!$I$7+$AK$3)*5/2)</f>
        <v>370</v>
      </c>
      <c r="AY97" s="39">
        <f>_xlfn.FLOOR.MATH((($AI97-1)*Characters!$N$8+Characters!$G$8+$AK$2)*10/2) + _xlfn.FLOOR.MATH((($AI97-1)*Characters!$P$8+Characters!$I$8+$AK$3)*5/2)</f>
        <v>480</v>
      </c>
      <c r="AZ97" s="39">
        <f>_xlfn.FLOOR.MATH((($AI97-1)*Characters!$N$9+Characters!$G$9+$AK$2)*10/2) + _xlfn.FLOOR.MATH((($AI97-1)*Characters!$P$9+Characters!$I$9+$AK$3)*5/2)</f>
        <v>190</v>
      </c>
      <c r="BA97" s="39">
        <f>_xlfn.FLOOR.MATH((($AI97-1)*Characters!$N$10+Characters!$G$10+$AK$2)*10/2) + _xlfn.FLOOR.MATH((($AI97-1)*Characters!$P$10+Characters!$I$10+$AK$3)*5/2)</f>
        <v>566</v>
      </c>
      <c r="BB97" s="39">
        <f>_xlfn.FLOOR.MATH((($AI97-1)*Characters!$N$11+Characters!$G$11+$AK$2)*10/2) + _xlfn.FLOOR.MATH((($AI97-1)*Characters!$P$11+Characters!$I$11+$AK$3)*5/2)</f>
        <v>215</v>
      </c>
      <c r="BC97" s="33">
        <f>_xlfn.FLOOR.MATH((($AI97-1)*Characters!$N$12+Characters!$G$12+$AK$2)*10/2) + _xlfn.FLOOR.MATH((($AI97-1)*Characters!$P$12+Characters!$I$12+$AK$3)*5/2)</f>
        <v>525</v>
      </c>
    </row>
    <row r="98" spans="1:55" ht="18" customHeight="1">
      <c r="A98" s="38">
        <v>91</v>
      </c>
      <c r="B98" s="20">
        <f t="shared" si="18"/>
        <v>24</v>
      </c>
      <c r="C98" s="20">
        <f t="shared" si="19"/>
        <v>22</v>
      </c>
      <c r="D98" s="52">
        <f t="shared" si="20"/>
        <v>44</v>
      </c>
      <c r="E98" s="52">
        <f t="shared" si="24"/>
        <v>132</v>
      </c>
      <c r="F98" s="67">
        <f t="shared" si="15"/>
        <v>136</v>
      </c>
      <c r="G98" s="52">
        <f t="shared" si="16"/>
        <v>2393.7500000000005</v>
      </c>
      <c r="H98" s="52">
        <f t="shared" si="21"/>
        <v>7181.2500000000009</v>
      </c>
      <c r="I98" s="52">
        <f t="shared" si="22"/>
        <v>4787.5000000000009</v>
      </c>
      <c r="J98" s="69">
        <f t="shared" si="25"/>
        <v>157411.30000000002</v>
      </c>
      <c r="K98" s="70">
        <f t="shared" si="23"/>
        <v>77</v>
      </c>
      <c r="L98" s="132"/>
      <c r="M98" s="38">
        <f>Characters!$F$13+((Characters!$M$13 )*(Floor!$F98-1))</f>
        <v>8250</v>
      </c>
      <c r="N98" s="39">
        <f>Characters!$F$14+((Characters!$M$14 )*(Floor!F98-1))</f>
        <v>8250</v>
      </c>
      <c r="O98" s="39">
        <f>Characters!$F$15+((Characters!$M$15 )*(Floor!$F98-1))</f>
        <v>8250</v>
      </c>
      <c r="P98" s="39">
        <f>Characters!$F$16+((Characters!$M$16 )*(Floor!$F98-1))</f>
        <v>8250</v>
      </c>
      <c r="Q98" s="39">
        <f>Characters!$F$17+((Characters!$M$17)*(Floor!$F98-1))</f>
        <v>8250</v>
      </c>
      <c r="R98" s="39">
        <f>Characters!$F$18+((Characters!$M$18 )*(Floor!$F98-1))</f>
        <v>8250</v>
      </c>
      <c r="S98" s="33">
        <f>Characters!$F$19+((Characters!$M$19 )*(Floor!$F98-1))</f>
        <v>8250</v>
      </c>
      <c r="T98" s="38">
        <f>_xlfn.FLOOR.MATH((Characters!$J$13+Characters!$Q$13*(Floor!$F98-1))*5/2)</f>
        <v>1032</v>
      </c>
      <c r="U98" s="39">
        <f>_xlfn.FLOOR.MATH((Characters!$J$14+Characters!$Q$14*(Floor!$F98-1))*5/2)</f>
        <v>1032</v>
      </c>
      <c r="V98" s="39">
        <f>_xlfn.FLOOR.MATH((Characters!$J$15+Characters!$Q$15*(Floor!$F98-1))*5/2)</f>
        <v>1032</v>
      </c>
      <c r="W98" s="39">
        <f>_xlfn.FLOOR.MATH((Characters!$J$16+Characters!$Q$16*(Floor!$F98-1))*5/2)</f>
        <v>1032</v>
      </c>
      <c r="X98" s="39">
        <f>_xlfn.FLOOR.MATH((Characters!$J$17+Characters!$Q$17*(Floor!$F98-1))*5/2)</f>
        <v>1032</v>
      </c>
      <c r="Y98" s="39">
        <f>_xlfn.FLOOR.MATH((Characters!$J$18+Characters!$Q$18*(Floor!$F98-1))*5/2)</f>
        <v>1032</v>
      </c>
      <c r="Z98" s="39">
        <f>_xlfn.FLOOR.MATH((Characters!$J$19+Characters!$Q$19*(Floor!$F98-1))*5/2)</f>
        <v>1032</v>
      </c>
      <c r="AA98" s="38">
        <f>_xlfn.FLOOR.MATH((Characters!$G$13+Characters!$N$13*(Floor!$F98-1))*10/2) + _xlfn.FLOOR.MATH((($AI98-1)*Characters!$P$13+Characters!$I$13)*5/2)</f>
        <v>952</v>
      </c>
      <c r="AB98" s="39">
        <f>_xlfn.FLOOR.MATH((Characters!$G$14+Characters!$N$14*(Floor!$F98-1))*10/2) + _xlfn.FLOOR.MATH((($AI98-1)*Characters!$P$14+Characters!$I$14)*5/2)</f>
        <v>952</v>
      </c>
      <c r="AC98" s="39">
        <f>_xlfn.FLOOR.MATH((Characters!$G$15+Characters!$N$15*(Floor!$F98-1))*10/2) + _xlfn.FLOOR.MATH((($AI98-1)*Characters!$P$15+Characters!$I$15)*5/2)</f>
        <v>952</v>
      </c>
      <c r="AD98" s="39">
        <f>_xlfn.FLOOR.MATH((Characters!$G$16+Characters!$N$16*(Floor!$F98-1))*10/2) + _xlfn.FLOOR.MATH((($AI98-1)*Characters!$P$16+Characters!$I$16)*5/2)</f>
        <v>952</v>
      </c>
      <c r="AE98" s="39">
        <f>_xlfn.FLOOR.MATH((Characters!$G$17+Characters!$N$17*(Floor!$F98-1))*10/2) + _xlfn.FLOOR.MATH((($AI98-1)*Characters!$P$17+Characters!$I$17)*5/2)</f>
        <v>952</v>
      </c>
      <c r="AF98" s="39">
        <f>_xlfn.FLOOR.MATH((Characters!$G$18+Characters!$N$18*(Floor!$F98-1))*10/2) + _xlfn.FLOOR.MATH((($AI98-1)*Characters!$P$18+Characters!$I$18)*5/2)</f>
        <v>952</v>
      </c>
      <c r="AG98" s="33">
        <f>_xlfn.FLOOR.MATH((Characters!$G$19+Characters!$N$19*(Floor!$F98-1))*10/2) + _xlfn.FLOOR.MATH((($AI98-1)*Characters!$P$19+Characters!$I$19)*5/2)</f>
        <v>952</v>
      </c>
      <c r="AH98" s="67"/>
      <c r="AI98" s="38">
        <v>91</v>
      </c>
      <c r="AJ98" s="71">
        <f t="shared" si="17"/>
        <v>8281.4000000000015</v>
      </c>
      <c r="AK98" s="105">
        <f t="shared" si="26"/>
        <v>255546.19999999998</v>
      </c>
      <c r="AL98" s="38">
        <f>_xlfn.FLOOR.MATH(($AI98-1)*Characters!$M$7+Characters!$F$7)+$AK$5</f>
        <v>7100</v>
      </c>
      <c r="AM98" s="39">
        <f>_xlfn.FLOOR.MATH(($AI98-1)*Characters!$M$8+Characters!$F$8)+$AK$5</f>
        <v>8950</v>
      </c>
      <c r="AN98" s="39">
        <f>_xlfn.FLOOR.MATH(($AI98-1)*Characters!$M$9+Characters!$F$9)+$AK$5</f>
        <v>6580</v>
      </c>
      <c r="AO98" s="39">
        <f>_xlfn.FLOOR.MATH(($AI98-1)*Characters!$M$10+Characters!$F$10)+$AK$5</f>
        <v>7510</v>
      </c>
      <c r="AP98" s="39">
        <f>_xlfn.FLOOR.MATH(($AI98-1)*Characters!$M$11+Characters!$F$11)+$AK$5</f>
        <v>6580</v>
      </c>
      <c r="AQ98" s="39">
        <f>_xlfn.FLOOR.MATH(($AI98-1)*Characters!$M$12+Characters!$F$12)+$AK$5</f>
        <v>7960</v>
      </c>
      <c r="AR98" s="38">
        <f>_xlfn.FLOOR.MATH((($AI98-1)*Characters!$Q$7+Characters!$J$7+$AK$4)*5/2)</f>
        <v>215</v>
      </c>
      <c r="AS98" s="39">
        <f>_xlfn.FLOOR.MATH((($AI98-1)*Characters!$Q$8+Characters!$J$8+$AK$4)*5/2)</f>
        <v>245</v>
      </c>
      <c r="AT98" s="39">
        <f>_xlfn.FLOOR.MATH((($AI98-1)*Characters!$Q$9+Characters!$J$9+$AK$4)*5/2)</f>
        <v>172</v>
      </c>
      <c r="AU98" s="39">
        <f>_xlfn.FLOOR.MATH((($AI98-1)*Characters!$Q$10+Characters!$J$10+$AK$4)*5/2)</f>
        <v>217</v>
      </c>
      <c r="AV98" s="39">
        <f>_xlfn.FLOOR.MATH((($AI98-1)*Characters!$Q$11+Characters!$J$11+$AK$4)*5/2)</f>
        <v>170</v>
      </c>
      <c r="AW98" s="39">
        <f>_xlfn.FLOOR.MATH((($AI98-1)*Characters!$Q$12+Characters!$J$12+$AK$4)*5/2)</f>
        <v>245</v>
      </c>
      <c r="AX98" s="38">
        <f>_xlfn.FLOOR.MATH((($AI98-1)*Characters!$N$7+Characters!$G$7+$AK$2)*10/2) + _xlfn.FLOOR.MATH((($AI98-1)*Characters!$P$7+Characters!$I$7+$AK$3)*5/2)</f>
        <v>375</v>
      </c>
      <c r="AY98" s="39">
        <f>_xlfn.FLOOR.MATH((($AI98-1)*Characters!$N$8+Characters!$G$8+$AK$2)*10/2) + _xlfn.FLOOR.MATH((($AI98-1)*Characters!$P$8+Characters!$I$8+$AK$3)*5/2)</f>
        <v>485</v>
      </c>
      <c r="AZ98" s="39">
        <f>_xlfn.FLOOR.MATH((($AI98-1)*Characters!$N$9+Characters!$G$9+$AK$2)*10/2) + _xlfn.FLOOR.MATH((($AI98-1)*Characters!$P$9+Characters!$I$9+$AK$3)*5/2)</f>
        <v>192</v>
      </c>
      <c r="BA98" s="39">
        <f>_xlfn.FLOOR.MATH((($AI98-1)*Characters!$N$10+Characters!$G$10+$AK$2)*10/2) + _xlfn.FLOOR.MATH((($AI98-1)*Characters!$P$10+Characters!$I$10+$AK$3)*5/2)</f>
        <v>572</v>
      </c>
      <c r="BB98" s="39">
        <f>_xlfn.FLOOR.MATH((($AI98-1)*Characters!$N$11+Characters!$G$11+$AK$2)*10/2) + _xlfn.FLOOR.MATH((($AI98-1)*Characters!$P$11+Characters!$I$11+$AK$3)*5/2)</f>
        <v>217</v>
      </c>
      <c r="BC98" s="33">
        <f>_xlfn.FLOOR.MATH((($AI98-1)*Characters!$N$12+Characters!$G$12+$AK$2)*10/2) + _xlfn.FLOOR.MATH((($AI98-1)*Characters!$P$12+Characters!$I$12+$AK$3)*5/2)</f>
        <v>530</v>
      </c>
    </row>
    <row r="99" spans="1:55" ht="18" customHeight="1">
      <c r="A99" s="38">
        <v>92</v>
      </c>
      <c r="B99" s="20">
        <f t="shared" si="18"/>
        <v>24</v>
      </c>
      <c r="C99" s="20">
        <f t="shared" si="19"/>
        <v>22</v>
      </c>
      <c r="D99" s="52">
        <f t="shared" si="20"/>
        <v>44</v>
      </c>
      <c r="E99" s="52">
        <f t="shared" si="24"/>
        <v>132</v>
      </c>
      <c r="F99" s="67">
        <f t="shared" si="15"/>
        <v>137</v>
      </c>
      <c r="G99" s="52">
        <f t="shared" si="16"/>
        <v>2411.3500000000004</v>
      </c>
      <c r="H99" s="52">
        <f t="shared" si="21"/>
        <v>7234.0500000000011</v>
      </c>
      <c r="I99" s="52">
        <f t="shared" si="22"/>
        <v>4822.7000000000007</v>
      </c>
      <c r="J99" s="69">
        <f t="shared" si="25"/>
        <v>162234.00000000003</v>
      </c>
      <c r="K99" s="70">
        <f t="shared" si="23"/>
        <v>78</v>
      </c>
      <c r="L99" s="132"/>
      <c r="M99" s="38">
        <f>Characters!$F$13+((Characters!$M$13 )*(Floor!$F99-1))</f>
        <v>8310</v>
      </c>
      <c r="N99" s="39">
        <f>Characters!$F$14+((Characters!$M$14 )*(Floor!F99-1))</f>
        <v>8310</v>
      </c>
      <c r="O99" s="39">
        <f>Characters!$F$15+((Characters!$M$15 )*(Floor!$F99-1))</f>
        <v>8310</v>
      </c>
      <c r="P99" s="39">
        <f>Characters!$F$16+((Characters!$M$16 )*(Floor!$F99-1))</f>
        <v>8310</v>
      </c>
      <c r="Q99" s="39">
        <f>Characters!$F$17+((Characters!$M$17)*(Floor!$F99-1))</f>
        <v>8310</v>
      </c>
      <c r="R99" s="39">
        <f>Characters!$F$18+((Characters!$M$18 )*(Floor!$F99-1))</f>
        <v>8310</v>
      </c>
      <c r="S99" s="33">
        <f>Characters!$F$19+((Characters!$M$19 )*(Floor!$F99-1))</f>
        <v>8310</v>
      </c>
      <c r="T99" s="38">
        <f>_xlfn.FLOOR.MATH((Characters!$J$13+Characters!$Q$13*(Floor!$F99-1))*5/2)</f>
        <v>1040</v>
      </c>
      <c r="U99" s="39">
        <f>_xlfn.FLOOR.MATH((Characters!$J$14+Characters!$Q$14*(Floor!$F99-1))*5/2)</f>
        <v>1040</v>
      </c>
      <c r="V99" s="39">
        <f>_xlfn.FLOOR.MATH((Characters!$J$15+Characters!$Q$15*(Floor!$F99-1))*5/2)</f>
        <v>1040</v>
      </c>
      <c r="W99" s="39">
        <f>_xlfn.FLOOR.MATH((Characters!$J$16+Characters!$Q$16*(Floor!$F99-1))*5/2)</f>
        <v>1040</v>
      </c>
      <c r="X99" s="39">
        <f>_xlfn.FLOOR.MATH((Characters!$J$17+Characters!$Q$17*(Floor!$F99-1))*5/2)</f>
        <v>1040</v>
      </c>
      <c r="Y99" s="39">
        <f>_xlfn.FLOOR.MATH((Characters!$J$18+Characters!$Q$18*(Floor!$F99-1))*5/2)</f>
        <v>1040</v>
      </c>
      <c r="Z99" s="39">
        <f>_xlfn.FLOOR.MATH((Characters!$J$19+Characters!$Q$19*(Floor!$F99-1))*5/2)</f>
        <v>1040</v>
      </c>
      <c r="AA99" s="38">
        <f>_xlfn.FLOOR.MATH((Characters!$G$13+Characters!$N$13*(Floor!$F99-1))*10/2) + _xlfn.FLOOR.MATH((($AI99-1)*Characters!$P$13+Characters!$I$13)*5/2)</f>
        <v>959</v>
      </c>
      <c r="AB99" s="39">
        <f>_xlfn.FLOOR.MATH((Characters!$G$14+Characters!$N$14*(Floor!$F99-1))*10/2) + _xlfn.FLOOR.MATH((($AI99-1)*Characters!$P$14+Characters!$I$14)*5/2)</f>
        <v>959</v>
      </c>
      <c r="AC99" s="39">
        <f>_xlfn.FLOOR.MATH((Characters!$G$15+Characters!$N$15*(Floor!$F99-1))*10/2) + _xlfn.FLOOR.MATH((($AI99-1)*Characters!$P$15+Characters!$I$15)*5/2)</f>
        <v>959</v>
      </c>
      <c r="AD99" s="39">
        <f>_xlfn.FLOOR.MATH((Characters!$G$16+Characters!$N$16*(Floor!$F99-1))*10/2) + _xlfn.FLOOR.MATH((($AI99-1)*Characters!$P$16+Characters!$I$16)*5/2)</f>
        <v>959</v>
      </c>
      <c r="AE99" s="39">
        <f>_xlfn.FLOOR.MATH((Characters!$G$17+Characters!$N$17*(Floor!$F99-1))*10/2) + _xlfn.FLOOR.MATH((($AI99-1)*Characters!$P$17+Characters!$I$17)*5/2)</f>
        <v>959</v>
      </c>
      <c r="AF99" s="39">
        <f>_xlfn.FLOOR.MATH((Characters!$G$18+Characters!$N$18*(Floor!$F99-1))*10/2) + _xlfn.FLOOR.MATH((($AI99-1)*Characters!$P$18+Characters!$I$18)*5/2)</f>
        <v>959</v>
      </c>
      <c r="AG99" s="33">
        <f>_xlfn.FLOOR.MATH((Characters!$G$19+Characters!$N$19*(Floor!$F99-1))*10/2) + _xlfn.FLOOR.MATH((($AI99-1)*Characters!$P$19+Characters!$I$19)*5/2)</f>
        <v>959</v>
      </c>
      <c r="AH99" s="67"/>
      <c r="AI99" s="38">
        <v>92</v>
      </c>
      <c r="AJ99" s="71">
        <f t="shared" si="17"/>
        <v>8464.36</v>
      </c>
      <c r="AK99" s="105">
        <f t="shared" si="26"/>
        <v>264010.56</v>
      </c>
      <c r="AL99" s="38">
        <f>_xlfn.FLOOR.MATH(($AI99-1)*Characters!$M$7+Characters!$F$7)+$AK$5</f>
        <v>7130</v>
      </c>
      <c r="AM99" s="39">
        <f>_xlfn.FLOOR.MATH(($AI99-1)*Characters!$M$8+Characters!$F$8)+$AK$5</f>
        <v>9000</v>
      </c>
      <c r="AN99" s="39">
        <f>_xlfn.FLOOR.MATH(($AI99-1)*Characters!$M$9+Characters!$F$9)+$AK$5</f>
        <v>6605</v>
      </c>
      <c r="AO99" s="39">
        <f>_xlfn.FLOOR.MATH(($AI99-1)*Characters!$M$10+Characters!$F$10)+$AK$5</f>
        <v>7545</v>
      </c>
      <c r="AP99" s="39">
        <f>_xlfn.FLOOR.MATH(($AI99-1)*Characters!$M$11+Characters!$F$11)+$AK$5</f>
        <v>6605</v>
      </c>
      <c r="AQ99" s="39">
        <f>_xlfn.FLOOR.MATH(($AI99-1)*Characters!$M$12+Characters!$F$12)+$AK$5</f>
        <v>8000</v>
      </c>
      <c r="AR99" s="38">
        <f>_xlfn.FLOOR.MATH((($AI99-1)*Characters!$Q$7+Characters!$J$7+$AK$4)*5/2)</f>
        <v>216</v>
      </c>
      <c r="AS99" s="39">
        <f>_xlfn.FLOOR.MATH((($AI99-1)*Characters!$Q$8+Characters!$J$8+$AK$4)*5/2)</f>
        <v>246</v>
      </c>
      <c r="AT99" s="39">
        <f>_xlfn.FLOOR.MATH((($AI99-1)*Characters!$Q$9+Characters!$J$9+$AK$4)*5/2)</f>
        <v>173</v>
      </c>
      <c r="AU99" s="39">
        <f>_xlfn.FLOOR.MATH((($AI99-1)*Characters!$Q$10+Characters!$J$10+$AK$4)*5/2)</f>
        <v>218</v>
      </c>
      <c r="AV99" s="39">
        <f>_xlfn.FLOOR.MATH((($AI99-1)*Characters!$Q$11+Characters!$J$11+$AK$4)*5/2)</f>
        <v>170</v>
      </c>
      <c r="AW99" s="39">
        <f>_xlfn.FLOOR.MATH((($AI99-1)*Characters!$Q$12+Characters!$J$12+$AK$4)*5/2)</f>
        <v>246</v>
      </c>
      <c r="AX99" s="38">
        <f>_xlfn.FLOOR.MATH((($AI99-1)*Characters!$N$7+Characters!$G$7+$AK$2)*10/2) + _xlfn.FLOOR.MATH((($AI99-1)*Characters!$P$7+Characters!$I$7+$AK$3)*5/2)</f>
        <v>378</v>
      </c>
      <c r="AY99" s="39">
        <f>_xlfn.FLOOR.MATH((($AI99-1)*Characters!$N$8+Characters!$G$8+$AK$2)*10/2) + _xlfn.FLOOR.MATH((($AI99-1)*Characters!$P$8+Characters!$I$8+$AK$3)*5/2)</f>
        <v>489</v>
      </c>
      <c r="AZ99" s="39">
        <f>_xlfn.FLOOR.MATH((($AI99-1)*Characters!$N$9+Characters!$G$9+$AK$2)*10/2) + _xlfn.FLOOR.MATH((($AI99-1)*Characters!$P$9+Characters!$I$9+$AK$3)*5/2)</f>
        <v>194</v>
      </c>
      <c r="BA99" s="39">
        <f>_xlfn.FLOOR.MATH((($AI99-1)*Characters!$N$10+Characters!$G$10+$AK$2)*10/2) + _xlfn.FLOOR.MATH((($AI99-1)*Characters!$P$10+Characters!$I$10+$AK$3)*5/2)</f>
        <v>577</v>
      </c>
      <c r="BB99" s="39">
        <f>_xlfn.FLOOR.MATH((($AI99-1)*Characters!$N$11+Characters!$G$11+$AK$2)*10/2) + _xlfn.FLOOR.MATH((($AI99-1)*Characters!$P$11+Characters!$I$11+$AK$3)*5/2)</f>
        <v>219</v>
      </c>
      <c r="BC99" s="33">
        <f>_xlfn.FLOOR.MATH((($AI99-1)*Characters!$N$12+Characters!$G$12+$AK$2)*10/2) + _xlfn.FLOOR.MATH((($AI99-1)*Characters!$P$12+Characters!$I$12+$AK$3)*5/2)</f>
        <v>535</v>
      </c>
    </row>
    <row r="100" spans="1:55" ht="18" customHeight="1">
      <c r="A100" s="38">
        <v>93</v>
      </c>
      <c r="B100" s="20">
        <f t="shared" si="18"/>
        <v>24</v>
      </c>
      <c r="C100" s="20">
        <f t="shared" si="19"/>
        <v>22</v>
      </c>
      <c r="D100" s="52">
        <f t="shared" si="20"/>
        <v>44</v>
      </c>
      <c r="E100" s="52">
        <f t="shared" si="24"/>
        <v>132</v>
      </c>
      <c r="F100" s="67">
        <f t="shared" si="15"/>
        <v>139</v>
      </c>
      <c r="G100" s="52">
        <f t="shared" si="16"/>
        <v>2446.5500000000002</v>
      </c>
      <c r="H100" s="52">
        <f t="shared" si="21"/>
        <v>7339.6500000000005</v>
      </c>
      <c r="I100" s="52">
        <f t="shared" si="22"/>
        <v>4893.1000000000004</v>
      </c>
      <c r="J100" s="69">
        <f t="shared" si="25"/>
        <v>167127.10000000003</v>
      </c>
      <c r="K100" s="70">
        <f t="shared" si="23"/>
        <v>78</v>
      </c>
      <c r="L100" s="132"/>
      <c r="M100" s="38">
        <f>Characters!$F$13+((Characters!$M$13 )*(Floor!$F100-1))</f>
        <v>8430</v>
      </c>
      <c r="N100" s="39">
        <f>Characters!$F$14+((Characters!$M$14 )*(Floor!F100-1))</f>
        <v>8430</v>
      </c>
      <c r="O100" s="39">
        <f>Characters!$F$15+((Characters!$M$15 )*(Floor!$F100-1))</f>
        <v>8430</v>
      </c>
      <c r="P100" s="39">
        <f>Characters!$F$16+((Characters!$M$16 )*(Floor!$F100-1))</f>
        <v>8430</v>
      </c>
      <c r="Q100" s="39">
        <f>Characters!$F$17+((Characters!$M$17)*(Floor!$F100-1))</f>
        <v>8430</v>
      </c>
      <c r="R100" s="39">
        <f>Characters!$F$18+((Characters!$M$18 )*(Floor!$F100-1))</f>
        <v>8430</v>
      </c>
      <c r="S100" s="33">
        <f>Characters!$F$19+((Characters!$M$19 )*(Floor!$F100-1))</f>
        <v>8430</v>
      </c>
      <c r="T100" s="38">
        <f>_xlfn.FLOOR.MATH((Characters!$J$13+Characters!$Q$13*(Floor!$F100-1))*5/2)</f>
        <v>1055</v>
      </c>
      <c r="U100" s="39">
        <f>_xlfn.FLOOR.MATH((Characters!$J$14+Characters!$Q$14*(Floor!$F100-1))*5/2)</f>
        <v>1055</v>
      </c>
      <c r="V100" s="39">
        <f>_xlfn.FLOOR.MATH((Characters!$J$15+Characters!$Q$15*(Floor!$F100-1))*5/2)</f>
        <v>1055</v>
      </c>
      <c r="W100" s="39">
        <f>_xlfn.FLOOR.MATH((Characters!$J$16+Characters!$Q$16*(Floor!$F100-1))*5/2)</f>
        <v>1055</v>
      </c>
      <c r="X100" s="39">
        <f>_xlfn.FLOOR.MATH((Characters!$J$17+Characters!$Q$17*(Floor!$F100-1))*5/2)</f>
        <v>1055</v>
      </c>
      <c r="Y100" s="39">
        <f>_xlfn.FLOOR.MATH((Characters!$J$18+Characters!$Q$18*(Floor!$F100-1))*5/2)</f>
        <v>1055</v>
      </c>
      <c r="Z100" s="39">
        <f>_xlfn.FLOOR.MATH((Characters!$J$19+Characters!$Q$19*(Floor!$F100-1))*5/2)</f>
        <v>1055</v>
      </c>
      <c r="AA100" s="38">
        <f>_xlfn.FLOOR.MATH((Characters!$G$13+Characters!$N$13*(Floor!$F100-1))*10/2) + _xlfn.FLOOR.MATH((($AI100-1)*Characters!$P$13+Characters!$I$13)*5/2)</f>
        <v>973</v>
      </c>
      <c r="AB100" s="39">
        <f>_xlfn.FLOOR.MATH((Characters!$G$14+Characters!$N$14*(Floor!$F100-1))*10/2) + _xlfn.FLOOR.MATH((($AI100-1)*Characters!$P$14+Characters!$I$14)*5/2)</f>
        <v>973</v>
      </c>
      <c r="AC100" s="39">
        <f>_xlfn.FLOOR.MATH((Characters!$G$15+Characters!$N$15*(Floor!$F100-1))*10/2) + _xlfn.FLOOR.MATH((($AI100-1)*Characters!$P$15+Characters!$I$15)*5/2)</f>
        <v>973</v>
      </c>
      <c r="AD100" s="39">
        <f>_xlfn.FLOOR.MATH((Characters!$G$16+Characters!$N$16*(Floor!$F100-1))*10/2) + _xlfn.FLOOR.MATH((($AI100-1)*Characters!$P$16+Characters!$I$16)*5/2)</f>
        <v>973</v>
      </c>
      <c r="AE100" s="39">
        <f>_xlfn.FLOOR.MATH((Characters!$G$17+Characters!$N$17*(Floor!$F100-1))*10/2) + _xlfn.FLOOR.MATH((($AI100-1)*Characters!$P$17+Characters!$I$17)*5/2)</f>
        <v>973</v>
      </c>
      <c r="AF100" s="39">
        <f>_xlfn.FLOOR.MATH((Characters!$G$18+Characters!$N$18*(Floor!$F100-1))*10/2) + _xlfn.FLOOR.MATH((($AI100-1)*Characters!$P$18+Characters!$I$18)*5/2)</f>
        <v>973</v>
      </c>
      <c r="AG100" s="33">
        <f>_xlfn.FLOOR.MATH((Characters!$G$19+Characters!$N$19*(Floor!$F100-1))*10/2) + _xlfn.FLOOR.MATH((($AI100-1)*Characters!$P$19+Characters!$I$19)*5/2)</f>
        <v>973</v>
      </c>
      <c r="AH100" s="67"/>
      <c r="AI100" s="38">
        <v>93</v>
      </c>
      <c r="AJ100" s="71">
        <f t="shared" si="17"/>
        <v>8649.3200000000015</v>
      </c>
      <c r="AK100" s="105">
        <f t="shared" si="26"/>
        <v>272659.88</v>
      </c>
      <c r="AL100" s="38">
        <f>_xlfn.FLOOR.MATH(($AI100-1)*Characters!$M$7+Characters!$F$7)+$AK$5</f>
        <v>7160</v>
      </c>
      <c r="AM100" s="39">
        <f>_xlfn.FLOOR.MATH(($AI100-1)*Characters!$M$8+Characters!$F$8)+$AK$5</f>
        <v>9050</v>
      </c>
      <c r="AN100" s="39">
        <f>_xlfn.FLOOR.MATH(($AI100-1)*Characters!$M$9+Characters!$F$9)+$AK$5</f>
        <v>6630</v>
      </c>
      <c r="AO100" s="39">
        <f>_xlfn.FLOOR.MATH(($AI100-1)*Characters!$M$10+Characters!$F$10)+$AK$5</f>
        <v>7580</v>
      </c>
      <c r="AP100" s="39">
        <f>_xlfn.FLOOR.MATH(($AI100-1)*Characters!$M$11+Characters!$F$11)+$AK$5</f>
        <v>6630</v>
      </c>
      <c r="AQ100" s="39">
        <f>_xlfn.FLOOR.MATH(($AI100-1)*Characters!$M$12+Characters!$F$12)+$AK$5</f>
        <v>8040</v>
      </c>
      <c r="AR100" s="38">
        <f>_xlfn.FLOOR.MATH((($AI100-1)*Characters!$Q$7+Characters!$J$7+$AK$4)*5/2)</f>
        <v>217</v>
      </c>
      <c r="AS100" s="39">
        <f>_xlfn.FLOOR.MATH((($AI100-1)*Characters!$Q$8+Characters!$J$8+$AK$4)*5/2)</f>
        <v>248</v>
      </c>
      <c r="AT100" s="39">
        <f>_xlfn.FLOOR.MATH((($AI100-1)*Characters!$Q$9+Characters!$J$9+$AK$4)*5/2)</f>
        <v>174</v>
      </c>
      <c r="AU100" s="39">
        <f>_xlfn.FLOOR.MATH((($AI100-1)*Characters!$Q$10+Characters!$J$10+$AK$4)*5/2)</f>
        <v>220</v>
      </c>
      <c r="AV100" s="39">
        <f>_xlfn.FLOOR.MATH((($AI100-1)*Characters!$Q$11+Characters!$J$11+$AK$4)*5/2)</f>
        <v>171</v>
      </c>
      <c r="AW100" s="39">
        <f>_xlfn.FLOOR.MATH((($AI100-1)*Characters!$Q$12+Characters!$J$12+$AK$4)*5/2)</f>
        <v>248</v>
      </c>
      <c r="AX100" s="38">
        <f>_xlfn.FLOOR.MATH((($AI100-1)*Characters!$N$7+Characters!$G$7+$AK$2)*10/2) + _xlfn.FLOOR.MATH((($AI100-1)*Characters!$P$7+Characters!$I$7+$AK$3)*5/2)</f>
        <v>382</v>
      </c>
      <c r="AY100" s="39">
        <f>_xlfn.FLOOR.MATH((($AI100-1)*Characters!$N$8+Characters!$G$8+$AK$2)*10/2) + _xlfn.FLOOR.MATH((($AI100-1)*Characters!$P$8+Characters!$I$8+$AK$3)*5/2)</f>
        <v>494</v>
      </c>
      <c r="AZ100" s="39">
        <f>_xlfn.FLOOR.MATH((($AI100-1)*Characters!$N$9+Characters!$G$9+$AK$2)*10/2) + _xlfn.FLOOR.MATH((($AI100-1)*Characters!$P$9+Characters!$I$9+$AK$3)*5/2)</f>
        <v>196</v>
      </c>
      <c r="BA100" s="39">
        <f>_xlfn.FLOOR.MATH((($AI100-1)*Characters!$N$10+Characters!$G$10+$AK$2)*10/2) + _xlfn.FLOOR.MATH((($AI100-1)*Characters!$P$10+Characters!$I$10+$AK$3)*5/2)</f>
        <v>583</v>
      </c>
      <c r="BB100" s="39">
        <f>_xlfn.FLOOR.MATH((($AI100-1)*Characters!$N$11+Characters!$G$11+$AK$2)*10/2) + _xlfn.FLOOR.MATH((($AI100-1)*Characters!$P$11+Characters!$I$11+$AK$3)*5/2)</f>
        <v>221</v>
      </c>
      <c r="BC100" s="33">
        <f>_xlfn.FLOOR.MATH((($AI100-1)*Characters!$N$12+Characters!$G$12+$AK$2)*10/2) + _xlfn.FLOOR.MATH((($AI100-1)*Characters!$P$12+Characters!$I$12+$AK$3)*5/2)</f>
        <v>540</v>
      </c>
    </row>
    <row r="101" spans="1:55" ht="18" customHeight="1">
      <c r="A101" s="38">
        <v>94</v>
      </c>
      <c r="B101" s="20">
        <f t="shared" si="18"/>
        <v>24</v>
      </c>
      <c r="C101" s="20">
        <f t="shared" si="19"/>
        <v>22</v>
      </c>
      <c r="D101" s="52">
        <f t="shared" si="20"/>
        <v>44</v>
      </c>
      <c r="E101" s="52">
        <f t="shared" si="24"/>
        <v>132</v>
      </c>
      <c r="F101" s="67">
        <f t="shared" si="15"/>
        <v>140</v>
      </c>
      <c r="G101" s="52">
        <f t="shared" si="16"/>
        <v>2464.15</v>
      </c>
      <c r="H101" s="52">
        <f t="shared" si="21"/>
        <v>7392.4500000000007</v>
      </c>
      <c r="I101" s="52">
        <f t="shared" si="22"/>
        <v>4928.3</v>
      </c>
      <c r="J101" s="69">
        <f t="shared" si="25"/>
        <v>172055.40000000002</v>
      </c>
      <c r="K101" s="70">
        <f t="shared" si="23"/>
        <v>79</v>
      </c>
      <c r="L101" s="132"/>
      <c r="M101" s="38">
        <f>Characters!$F$13+((Characters!$M$13 )*(Floor!$F101-1))</f>
        <v>8490</v>
      </c>
      <c r="N101" s="39">
        <f>Characters!$F$14+((Characters!$M$14 )*(Floor!F101-1))</f>
        <v>8490</v>
      </c>
      <c r="O101" s="39">
        <f>Characters!$F$15+((Characters!$M$15 )*(Floor!$F101-1))</f>
        <v>8490</v>
      </c>
      <c r="P101" s="39">
        <f>Characters!$F$16+((Characters!$M$16 )*(Floor!$F101-1))</f>
        <v>8490</v>
      </c>
      <c r="Q101" s="39">
        <f>Characters!$F$17+((Characters!$M$17)*(Floor!$F101-1))</f>
        <v>8490</v>
      </c>
      <c r="R101" s="39">
        <f>Characters!$F$18+((Characters!$M$18 )*(Floor!$F101-1))</f>
        <v>8490</v>
      </c>
      <c r="S101" s="33">
        <f>Characters!$F$19+((Characters!$M$19 )*(Floor!$F101-1))</f>
        <v>8490</v>
      </c>
      <c r="T101" s="38">
        <f>_xlfn.FLOOR.MATH((Characters!$J$13+Characters!$Q$13*(Floor!$F101-1))*5/2)</f>
        <v>1062</v>
      </c>
      <c r="U101" s="39">
        <f>_xlfn.FLOOR.MATH((Characters!$J$14+Characters!$Q$14*(Floor!$F101-1))*5/2)</f>
        <v>1062</v>
      </c>
      <c r="V101" s="39">
        <f>_xlfn.FLOOR.MATH((Characters!$J$15+Characters!$Q$15*(Floor!$F101-1))*5/2)</f>
        <v>1062</v>
      </c>
      <c r="W101" s="39">
        <f>_xlfn.FLOOR.MATH((Characters!$J$16+Characters!$Q$16*(Floor!$F101-1))*5/2)</f>
        <v>1062</v>
      </c>
      <c r="X101" s="39">
        <f>_xlfn.FLOOR.MATH((Characters!$J$17+Characters!$Q$17*(Floor!$F101-1))*5/2)</f>
        <v>1062</v>
      </c>
      <c r="Y101" s="39">
        <f>_xlfn.FLOOR.MATH((Characters!$J$18+Characters!$Q$18*(Floor!$F101-1))*5/2)</f>
        <v>1062</v>
      </c>
      <c r="Z101" s="39">
        <f>_xlfn.FLOOR.MATH((Characters!$J$19+Characters!$Q$19*(Floor!$F101-1))*5/2)</f>
        <v>1062</v>
      </c>
      <c r="AA101" s="38">
        <f>_xlfn.FLOOR.MATH((Characters!$G$13+Characters!$N$13*(Floor!$F101-1))*10/2) + _xlfn.FLOOR.MATH((($AI101-1)*Characters!$P$13+Characters!$I$13)*5/2)</f>
        <v>980</v>
      </c>
      <c r="AB101" s="39">
        <f>_xlfn.FLOOR.MATH((Characters!$G$14+Characters!$N$14*(Floor!$F101-1))*10/2) + _xlfn.FLOOR.MATH((($AI101-1)*Characters!$P$14+Characters!$I$14)*5/2)</f>
        <v>980</v>
      </c>
      <c r="AC101" s="39">
        <f>_xlfn.FLOOR.MATH((Characters!$G$15+Characters!$N$15*(Floor!$F101-1))*10/2) + _xlfn.FLOOR.MATH((($AI101-1)*Characters!$P$15+Characters!$I$15)*5/2)</f>
        <v>980</v>
      </c>
      <c r="AD101" s="39">
        <f>_xlfn.FLOOR.MATH((Characters!$G$16+Characters!$N$16*(Floor!$F101-1))*10/2) + _xlfn.FLOOR.MATH((($AI101-1)*Characters!$P$16+Characters!$I$16)*5/2)</f>
        <v>980</v>
      </c>
      <c r="AE101" s="39">
        <f>_xlfn.FLOOR.MATH((Characters!$G$17+Characters!$N$17*(Floor!$F101-1))*10/2) + _xlfn.FLOOR.MATH((($AI101-1)*Characters!$P$17+Characters!$I$17)*5/2)</f>
        <v>980</v>
      </c>
      <c r="AF101" s="39">
        <f>_xlfn.FLOOR.MATH((Characters!$G$18+Characters!$N$18*(Floor!$F101-1))*10/2) + _xlfn.FLOOR.MATH((($AI101-1)*Characters!$P$18+Characters!$I$18)*5/2)</f>
        <v>980</v>
      </c>
      <c r="AG101" s="33">
        <f>_xlfn.FLOOR.MATH((Characters!$G$19+Characters!$N$19*(Floor!$F101-1))*10/2) + _xlfn.FLOOR.MATH((($AI101-1)*Characters!$P$19+Characters!$I$19)*5/2)</f>
        <v>980</v>
      </c>
      <c r="AH101" s="67"/>
      <c r="AI101" s="38">
        <v>94</v>
      </c>
      <c r="AJ101" s="71">
        <f t="shared" si="17"/>
        <v>8836.2800000000007</v>
      </c>
      <c r="AK101" s="105">
        <f t="shared" si="26"/>
        <v>281496.16000000003</v>
      </c>
      <c r="AL101" s="38">
        <f>_xlfn.FLOOR.MATH(($AI101-1)*Characters!$M$7+Characters!$F$7)+$AK$5</f>
        <v>7190</v>
      </c>
      <c r="AM101" s="39">
        <f>_xlfn.FLOOR.MATH(($AI101-1)*Characters!$M$8+Characters!$F$8)+$AK$5</f>
        <v>9100</v>
      </c>
      <c r="AN101" s="39">
        <f>_xlfn.FLOOR.MATH(($AI101-1)*Characters!$M$9+Characters!$F$9)+$AK$5</f>
        <v>6655</v>
      </c>
      <c r="AO101" s="39">
        <f>_xlfn.FLOOR.MATH(($AI101-1)*Characters!$M$10+Characters!$F$10)+$AK$5</f>
        <v>7615</v>
      </c>
      <c r="AP101" s="39">
        <f>_xlfn.FLOOR.MATH(($AI101-1)*Characters!$M$11+Characters!$F$11)+$AK$5</f>
        <v>6655</v>
      </c>
      <c r="AQ101" s="39">
        <f>_xlfn.FLOOR.MATH(($AI101-1)*Characters!$M$12+Characters!$F$12)+$AK$5</f>
        <v>8080</v>
      </c>
      <c r="AR101" s="38">
        <f>_xlfn.FLOOR.MATH((($AI101-1)*Characters!$Q$7+Characters!$J$7+$AK$4)*5/2)</f>
        <v>218</v>
      </c>
      <c r="AS101" s="39">
        <f>_xlfn.FLOOR.MATH((($AI101-1)*Characters!$Q$8+Characters!$J$8+$AK$4)*5/2)</f>
        <v>249</v>
      </c>
      <c r="AT101" s="39">
        <f>_xlfn.FLOOR.MATH((($AI101-1)*Characters!$Q$9+Characters!$J$9+$AK$4)*5/2)</f>
        <v>174</v>
      </c>
      <c r="AU101" s="39">
        <f>_xlfn.FLOOR.MATH((($AI101-1)*Characters!$Q$10+Characters!$J$10+$AK$4)*5/2)</f>
        <v>221</v>
      </c>
      <c r="AV101" s="39">
        <f>_xlfn.FLOOR.MATH((($AI101-1)*Characters!$Q$11+Characters!$J$11+$AK$4)*5/2)</f>
        <v>172</v>
      </c>
      <c r="AW101" s="39">
        <f>_xlfn.FLOOR.MATH((($AI101-1)*Characters!$Q$12+Characters!$J$12+$AK$4)*5/2)</f>
        <v>249</v>
      </c>
      <c r="AX101" s="38">
        <f>_xlfn.FLOOR.MATH((($AI101-1)*Characters!$N$7+Characters!$G$7+$AK$2)*10/2) + _xlfn.FLOOR.MATH((($AI101-1)*Characters!$P$7+Characters!$I$7+$AK$3)*5/2)</f>
        <v>385</v>
      </c>
      <c r="AY101" s="39">
        <f>_xlfn.FLOOR.MATH((($AI101-1)*Characters!$N$8+Characters!$G$8+$AK$2)*10/2) + _xlfn.FLOOR.MATH((($AI101-1)*Characters!$P$8+Characters!$I$8+$AK$3)*5/2)</f>
        <v>498</v>
      </c>
      <c r="AZ101" s="39">
        <f>_xlfn.FLOOR.MATH((($AI101-1)*Characters!$N$9+Characters!$G$9+$AK$2)*10/2) + _xlfn.FLOOR.MATH((($AI101-1)*Characters!$P$9+Characters!$I$9+$AK$3)*5/2)</f>
        <v>197</v>
      </c>
      <c r="BA101" s="39">
        <f>_xlfn.FLOOR.MATH((($AI101-1)*Characters!$N$10+Characters!$G$10+$AK$2)*10/2) + _xlfn.FLOOR.MATH((($AI101-1)*Characters!$P$10+Characters!$I$10+$AK$3)*5/2)</f>
        <v>588</v>
      </c>
      <c r="BB101" s="39">
        <f>_xlfn.FLOOR.MATH((($AI101-1)*Characters!$N$11+Characters!$G$11+$AK$2)*10/2) + _xlfn.FLOOR.MATH((($AI101-1)*Characters!$P$11+Characters!$I$11+$AK$3)*5/2)</f>
        <v>223</v>
      </c>
      <c r="BC101" s="33">
        <f>_xlfn.FLOOR.MATH((($AI101-1)*Characters!$N$12+Characters!$G$12+$AK$2)*10/2) + _xlfn.FLOOR.MATH((($AI101-1)*Characters!$P$12+Characters!$I$12+$AK$3)*5/2)</f>
        <v>545</v>
      </c>
    </row>
    <row r="102" spans="1:55" ht="18" customHeight="1">
      <c r="A102" s="38">
        <v>95</v>
      </c>
      <c r="B102" s="20">
        <f t="shared" si="18"/>
        <v>25</v>
      </c>
      <c r="C102" s="20">
        <f t="shared" si="19"/>
        <v>23</v>
      </c>
      <c r="D102" s="52">
        <f t="shared" si="20"/>
        <v>46</v>
      </c>
      <c r="E102" s="52">
        <f t="shared" si="24"/>
        <v>138</v>
      </c>
      <c r="F102" s="67">
        <f t="shared" si="15"/>
        <v>142</v>
      </c>
      <c r="G102" s="52">
        <f t="shared" si="16"/>
        <v>2612.9500000000003</v>
      </c>
      <c r="H102" s="52">
        <f t="shared" si="21"/>
        <v>7838.85</v>
      </c>
      <c r="I102" s="52">
        <f t="shared" si="22"/>
        <v>5225.9000000000005</v>
      </c>
      <c r="J102" s="69">
        <f t="shared" si="25"/>
        <v>177281.30000000002</v>
      </c>
      <c r="K102" s="70">
        <f t="shared" si="23"/>
        <v>80</v>
      </c>
      <c r="L102" s="132"/>
      <c r="M102" s="38">
        <f>Characters!$F$13+((Characters!$M$13 )*(Floor!$F102-1))</f>
        <v>8610</v>
      </c>
      <c r="N102" s="39">
        <f>Characters!$F$14+((Characters!$M$14 )*(Floor!F102-1))</f>
        <v>8610</v>
      </c>
      <c r="O102" s="39">
        <f>Characters!$F$15+((Characters!$M$15 )*(Floor!$F102-1))</f>
        <v>8610</v>
      </c>
      <c r="P102" s="39">
        <f>Characters!$F$16+((Characters!$M$16 )*(Floor!$F102-1))</f>
        <v>8610</v>
      </c>
      <c r="Q102" s="39">
        <f>Characters!$F$17+((Characters!$M$17)*(Floor!$F102-1))</f>
        <v>8610</v>
      </c>
      <c r="R102" s="39">
        <f>Characters!$F$18+((Characters!$M$18 )*(Floor!$F102-1))</f>
        <v>8610</v>
      </c>
      <c r="S102" s="33">
        <f>Characters!$F$19+((Characters!$M$19 )*(Floor!$F102-1))</f>
        <v>8610</v>
      </c>
      <c r="T102" s="38">
        <f>_xlfn.FLOOR.MATH((Characters!$J$13+Characters!$Q$13*(Floor!$F102-1))*5/2)</f>
        <v>1077</v>
      </c>
      <c r="U102" s="39">
        <f>_xlfn.FLOOR.MATH((Characters!$J$14+Characters!$Q$14*(Floor!$F102-1))*5/2)</f>
        <v>1077</v>
      </c>
      <c r="V102" s="39">
        <f>_xlfn.FLOOR.MATH((Characters!$J$15+Characters!$Q$15*(Floor!$F102-1))*5/2)</f>
        <v>1077</v>
      </c>
      <c r="W102" s="39">
        <f>_xlfn.FLOOR.MATH((Characters!$J$16+Characters!$Q$16*(Floor!$F102-1))*5/2)</f>
        <v>1077</v>
      </c>
      <c r="X102" s="39">
        <f>_xlfn.FLOOR.MATH((Characters!$J$17+Characters!$Q$17*(Floor!$F102-1))*5/2)</f>
        <v>1077</v>
      </c>
      <c r="Y102" s="39">
        <f>_xlfn.FLOOR.MATH((Characters!$J$18+Characters!$Q$18*(Floor!$F102-1))*5/2)</f>
        <v>1077</v>
      </c>
      <c r="Z102" s="39">
        <f>_xlfn.FLOOR.MATH((Characters!$J$19+Characters!$Q$19*(Floor!$F102-1))*5/2)</f>
        <v>1077</v>
      </c>
      <c r="AA102" s="38">
        <f>_xlfn.FLOOR.MATH((Characters!$G$13+Characters!$N$13*(Floor!$F102-1))*10/2) + _xlfn.FLOOR.MATH((($AI102-1)*Characters!$P$13+Characters!$I$13)*5/2)</f>
        <v>993</v>
      </c>
      <c r="AB102" s="39">
        <f>_xlfn.FLOOR.MATH((Characters!$G$14+Characters!$N$14*(Floor!$F102-1))*10/2) + _xlfn.FLOOR.MATH((($AI102-1)*Characters!$P$14+Characters!$I$14)*5/2)</f>
        <v>993</v>
      </c>
      <c r="AC102" s="39">
        <f>_xlfn.FLOOR.MATH((Characters!$G$15+Characters!$N$15*(Floor!$F102-1))*10/2) + _xlfn.FLOOR.MATH((($AI102-1)*Characters!$P$15+Characters!$I$15)*5/2)</f>
        <v>993</v>
      </c>
      <c r="AD102" s="39">
        <f>_xlfn.FLOOR.MATH((Characters!$G$16+Characters!$N$16*(Floor!$F102-1))*10/2) + _xlfn.FLOOR.MATH((($AI102-1)*Characters!$P$16+Characters!$I$16)*5/2)</f>
        <v>993</v>
      </c>
      <c r="AE102" s="39">
        <f>_xlfn.FLOOR.MATH((Characters!$G$17+Characters!$N$17*(Floor!$F102-1))*10/2) + _xlfn.FLOOR.MATH((($AI102-1)*Characters!$P$17+Characters!$I$17)*5/2)</f>
        <v>993</v>
      </c>
      <c r="AF102" s="39">
        <f>_xlfn.FLOOR.MATH((Characters!$G$18+Characters!$N$18*(Floor!$F102-1))*10/2) + _xlfn.FLOOR.MATH((($AI102-1)*Characters!$P$18+Characters!$I$18)*5/2)</f>
        <v>993</v>
      </c>
      <c r="AG102" s="33">
        <f>_xlfn.FLOOR.MATH((Characters!$G$19+Characters!$N$19*(Floor!$F102-1))*10/2) + _xlfn.FLOOR.MATH((($AI102-1)*Characters!$P$19+Characters!$I$19)*5/2)</f>
        <v>993</v>
      </c>
      <c r="AH102" s="67"/>
      <c r="AI102" s="38">
        <v>95</v>
      </c>
      <c r="AJ102" s="71">
        <f t="shared" si="17"/>
        <v>9025.2400000000016</v>
      </c>
      <c r="AK102" s="105">
        <f t="shared" si="26"/>
        <v>290521.40000000002</v>
      </c>
      <c r="AL102" s="38">
        <f>_xlfn.FLOOR.MATH(($AI102-1)*Characters!$M$7+Characters!$F$7)+$AK$5</f>
        <v>7220</v>
      </c>
      <c r="AM102" s="39">
        <f>_xlfn.FLOOR.MATH(($AI102-1)*Characters!$M$8+Characters!$F$8)+$AK$5</f>
        <v>9150</v>
      </c>
      <c r="AN102" s="39">
        <f>_xlfn.FLOOR.MATH(($AI102-1)*Characters!$M$9+Characters!$F$9)+$AK$5</f>
        <v>6680</v>
      </c>
      <c r="AO102" s="39">
        <f>_xlfn.FLOOR.MATH(($AI102-1)*Characters!$M$10+Characters!$F$10)+$AK$5</f>
        <v>7650</v>
      </c>
      <c r="AP102" s="39">
        <f>_xlfn.FLOOR.MATH(($AI102-1)*Characters!$M$11+Characters!$F$11)+$AK$5</f>
        <v>6680</v>
      </c>
      <c r="AQ102" s="39">
        <f>_xlfn.FLOOR.MATH(($AI102-1)*Characters!$M$12+Characters!$F$12)+$AK$5</f>
        <v>8120</v>
      </c>
      <c r="AR102" s="38">
        <f>_xlfn.FLOOR.MATH((($AI102-1)*Characters!$Q$7+Characters!$J$7+$AK$4)*5/2)</f>
        <v>220</v>
      </c>
      <c r="AS102" s="39">
        <f>_xlfn.FLOOR.MATH((($AI102-1)*Characters!$Q$8+Characters!$J$8+$AK$4)*5/2)</f>
        <v>251</v>
      </c>
      <c r="AT102" s="39">
        <f>_xlfn.FLOOR.MATH((($AI102-1)*Characters!$Q$9+Characters!$J$9+$AK$4)*5/2)</f>
        <v>175</v>
      </c>
      <c r="AU102" s="39">
        <f>_xlfn.FLOOR.MATH((($AI102-1)*Characters!$Q$10+Characters!$J$10+$AK$4)*5/2)</f>
        <v>222</v>
      </c>
      <c r="AV102" s="39">
        <f>_xlfn.FLOOR.MATH((($AI102-1)*Characters!$Q$11+Characters!$J$11+$AK$4)*5/2)</f>
        <v>173</v>
      </c>
      <c r="AW102" s="39">
        <f>_xlfn.FLOOR.MATH((($AI102-1)*Characters!$Q$12+Characters!$J$12+$AK$4)*5/2)</f>
        <v>251</v>
      </c>
      <c r="AX102" s="38">
        <f>_xlfn.FLOOR.MATH((($AI102-1)*Characters!$N$7+Characters!$G$7+$AK$2)*10/2) + _xlfn.FLOOR.MATH((($AI102-1)*Characters!$P$7+Characters!$I$7+$AK$3)*5/2)</f>
        <v>390</v>
      </c>
      <c r="AY102" s="39">
        <f>_xlfn.FLOOR.MATH((($AI102-1)*Characters!$N$8+Characters!$G$8+$AK$2)*10/2) + _xlfn.FLOOR.MATH((($AI102-1)*Characters!$P$8+Characters!$I$8+$AK$3)*5/2)</f>
        <v>503</v>
      </c>
      <c r="AZ102" s="39">
        <f>_xlfn.FLOOR.MATH((($AI102-1)*Characters!$N$9+Characters!$G$9+$AK$2)*10/2) + _xlfn.FLOOR.MATH((($AI102-1)*Characters!$P$9+Characters!$I$9+$AK$3)*5/2)</f>
        <v>199</v>
      </c>
      <c r="BA102" s="39">
        <f>_xlfn.FLOOR.MATH((($AI102-1)*Characters!$N$10+Characters!$G$10+$AK$2)*10/2) + _xlfn.FLOOR.MATH((($AI102-1)*Characters!$P$10+Characters!$I$10+$AK$3)*5/2)</f>
        <v>594</v>
      </c>
      <c r="BB102" s="39">
        <f>_xlfn.FLOOR.MATH((($AI102-1)*Characters!$N$11+Characters!$G$11+$AK$2)*10/2) + _xlfn.FLOOR.MATH((($AI102-1)*Characters!$P$11+Characters!$I$11+$AK$3)*5/2)</f>
        <v>225</v>
      </c>
      <c r="BC102" s="33">
        <f>_xlfn.FLOOR.MATH((($AI102-1)*Characters!$N$12+Characters!$G$12+$AK$2)*10/2) + _xlfn.FLOOR.MATH((($AI102-1)*Characters!$P$12+Characters!$I$12+$AK$3)*5/2)</f>
        <v>550</v>
      </c>
    </row>
    <row r="103" spans="1:55" ht="18" customHeight="1">
      <c r="A103" s="38">
        <v>96</v>
      </c>
      <c r="B103" s="20">
        <f t="shared" si="18"/>
        <v>25</v>
      </c>
      <c r="C103" s="20">
        <f t="shared" si="19"/>
        <v>23</v>
      </c>
      <c r="D103" s="52">
        <f t="shared" si="20"/>
        <v>46</v>
      </c>
      <c r="E103" s="52">
        <f t="shared" si="24"/>
        <v>138</v>
      </c>
      <c r="F103" s="67">
        <f t="shared" si="15"/>
        <v>143</v>
      </c>
      <c r="G103" s="52">
        <f t="shared" si="16"/>
        <v>2631.3500000000004</v>
      </c>
      <c r="H103" s="52">
        <f t="shared" si="21"/>
        <v>7894.0500000000011</v>
      </c>
      <c r="I103" s="52">
        <f t="shared" si="22"/>
        <v>5262.7000000000007</v>
      </c>
      <c r="J103" s="69">
        <f t="shared" si="25"/>
        <v>182544.00000000003</v>
      </c>
      <c r="K103" s="70">
        <f t="shared" si="23"/>
        <v>81</v>
      </c>
      <c r="L103" s="132"/>
      <c r="M103" s="38">
        <f>Characters!$F$13+((Characters!$M$13 )*(Floor!$F103-1))</f>
        <v>8670</v>
      </c>
      <c r="N103" s="39">
        <f>Characters!$F$14+((Characters!$M$14 )*(Floor!F103-1))</f>
        <v>8670</v>
      </c>
      <c r="O103" s="39">
        <f>Characters!$F$15+((Characters!$M$15 )*(Floor!$F103-1))</f>
        <v>8670</v>
      </c>
      <c r="P103" s="39">
        <f>Characters!$F$16+((Characters!$M$16 )*(Floor!$F103-1))</f>
        <v>8670</v>
      </c>
      <c r="Q103" s="39">
        <f>Characters!$F$17+((Characters!$M$17)*(Floor!$F103-1))</f>
        <v>8670</v>
      </c>
      <c r="R103" s="39">
        <f>Characters!$F$18+((Characters!$M$18 )*(Floor!$F103-1))</f>
        <v>8670</v>
      </c>
      <c r="S103" s="33">
        <f>Characters!$F$19+((Characters!$M$19 )*(Floor!$F103-1))</f>
        <v>8670</v>
      </c>
      <c r="T103" s="38">
        <f>_xlfn.FLOOR.MATH((Characters!$J$13+Characters!$Q$13*(Floor!$F103-1))*5/2)</f>
        <v>1085</v>
      </c>
      <c r="U103" s="39">
        <f>_xlfn.FLOOR.MATH((Characters!$J$14+Characters!$Q$14*(Floor!$F103-1))*5/2)</f>
        <v>1085</v>
      </c>
      <c r="V103" s="39">
        <f>_xlfn.FLOOR.MATH((Characters!$J$15+Characters!$Q$15*(Floor!$F103-1))*5/2)</f>
        <v>1085</v>
      </c>
      <c r="W103" s="39">
        <f>_xlfn.FLOOR.MATH((Characters!$J$16+Characters!$Q$16*(Floor!$F103-1))*5/2)</f>
        <v>1085</v>
      </c>
      <c r="X103" s="39">
        <f>_xlfn.FLOOR.MATH((Characters!$J$17+Characters!$Q$17*(Floor!$F103-1))*5/2)</f>
        <v>1085</v>
      </c>
      <c r="Y103" s="39">
        <f>_xlfn.FLOOR.MATH((Characters!$J$18+Characters!$Q$18*(Floor!$F103-1))*5/2)</f>
        <v>1085</v>
      </c>
      <c r="Z103" s="39">
        <f>_xlfn.FLOOR.MATH((Characters!$J$19+Characters!$Q$19*(Floor!$F103-1))*5/2)</f>
        <v>1085</v>
      </c>
      <c r="AA103" s="38">
        <f>_xlfn.FLOOR.MATH((Characters!$G$13+Characters!$N$13*(Floor!$F103-1))*10/2) + _xlfn.FLOOR.MATH((($AI103-1)*Characters!$P$13+Characters!$I$13)*5/2)</f>
        <v>1000</v>
      </c>
      <c r="AB103" s="39">
        <f>_xlfn.FLOOR.MATH((Characters!$G$14+Characters!$N$14*(Floor!$F103-1))*10/2) + _xlfn.FLOOR.MATH((($AI103-1)*Characters!$P$14+Characters!$I$14)*5/2)</f>
        <v>1000</v>
      </c>
      <c r="AC103" s="39">
        <f>_xlfn.FLOOR.MATH((Characters!$G$15+Characters!$N$15*(Floor!$F103-1))*10/2) + _xlfn.FLOOR.MATH((($AI103-1)*Characters!$P$15+Characters!$I$15)*5/2)</f>
        <v>1000</v>
      </c>
      <c r="AD103" s="39">
        <f>_xlfn.FLOOR.MATH((Characters!$G$16+Characters!$N$16*(Floor!$F103-1))*10/2) + _xlfn.FLOOR.MATH((($AI103-1)*Characters!$P$16+Characters!$I$16)*5/2)</f>
        <v>1000</v>
      </c>
      <c r="AE103" s="39">
        <f>_xlfn.FLOOR.MATH((Characters!$G$17+Characters!$N$17*(Floor!$F103-1))*10/2) + _xlfn.FLOOR.MATH((($AI103-1)*Characters!$P$17+Characters!$I$17)*5/2)</f>
        <v>1000</v>
      </c>
      <c r="AF103" s="39">
        <f>_xlfn.FLOOR.MATH((Characters!$G$18+Characters!$N$18*(Floor!$F103-1))*10/2) + _xlfn.FLOOR.MATH((($AI103-1)*Characters!$P$18+Characters!$I$18)*5/2)</f>
        <v>1000</v>
      </c>
      <c r="AG103" s="33">
        <f>_xlfn.FLOOR.MATH((Characters!$G$19+Characters!$N$19*(Floor!$F103-1))*10/2) + _xlfn.FLOOR.MATH((($AI103-1)*Characters!$P$19+Characters!$I$19)*5/2)</f>
        <v>1000</v>
      </c>
      <c r="AH103" s="67"/>
      <c r="AI103" s="38">
        <v>96</v>
      </c>
      <c r="AJ103" s="71">
        <f t="shared" si="17"/>
        <v>9216.2000000000007</v>
      </c>
      <c r="AK103" s="105">
        <f t="shared" si="26"/>
        <v>299737.60000000003</v>
      </c>
      <c r="AL103" s="38">
        <f>_xlfn.FLOOR.MATH(($AI103-1)*Characters!$M$7+Characters!$F$7)+$AK$5</f>
        <v>7250</v>
      </c>
      <c r="AM103" s="39">
        <f>_xlfn.FLOOR.MATH(($AI103-1)*Characters!$M$8+Characters!$F$8)+$AK$5</f>
        <v>9200</v>
      </c>
      <c r="AN103" s="39">
        <f>_xlfn.FLOOR.MATH(($AI103-1)*Characters!$M$9+Characters!$F$9)+$AK$5</f>
        <v>6705</v>
      </c>
      <c r="AO103" s="39">
        <f>_xlfn.FLOOR.MATH(($AI103-1)*Characters!$M$10+Characters!$F$10)+$AK$5</f>
        <v>7685</v>
      </c>
      <c r="AP103" s="39">
        <f>_xlfn.FLOOR.MATH(($AI103-1)*Characters!$M$11+Characters!$F$11)+$AK$5</f>
        <v>6705</v>
      </c>
      <c r="AQ103" s="39">
        <f>_xlfn.FLOOR.MATH(($AI103-1)*Characters!$M$12+Characters!$F$12)+$AK$5</f>
        <v>8160</v>
      </c>
      <c r="AR103" s="38">
        <f>_xlfn.FLOOR.MATH((($AI103-1)*Characters!$Q$7+Characters!$J$7+$AK$4)*5/2)</f>
        <v>221</v>
      </c>
      <c r="AS103" s="39">
        <f>_xlfn.FLOOR.MATH((($AI103-1)*Characters!$Q$8+Characters!$J$8+$AK$4)*5/2)</f>
        <v>252</v>
      </c>
      <c r="AT103" s="39">
        <f>_xlfn.FLOOR.MATH((($AI103-1)*Characters!$Q$9+Characters!$J$9+$AK$4)*5/2)</f>
        <v>176</v>
      </c>
      <c r="AU103" s="39">
        <f>_xlfn.FLOOR.MATH((($AI103-1)*Characters!$Q$10+Characters!$J$10+$AK$4)*5/2)</f>
        <v>223</v>
      </c>
      <c r="AV103" s="39">
        <f>_xlfn.FLOOR.MATH((($AI103-1)*Characters!$Q$11+Characters!$J$11+$AK$4)*5/2)</f>
        <v>173</v>
      </c>
      <c r="AW103" s="39">
        <f>_xlfn.FLOOR.MATH((($AI103-1)*Characters!$Q$12+Characters!$J$12+$AK$4)*5/2)</f>
        <v>252</v>
      </c>
      <c r="AX103" s="38">
        <f>_xlfn.FLOOR.MATH((($AI103-1)*Characters!$N$7+Characters!$G$7+$AK$2)*10/2) + _xlfn.FLOOR.MATH((($AI103-1)*Characters!$P$7+Characters!$I$7+$AK$3)*5/2)</f>
        <v>393</v>
      </c>
      <c r="AY103" s="39">
        <f>_xlfn.FLOOR.MATH((($AI103-1)*Characters!$N$8+Characters!$G$8+$AK$2)*10/2) + _xlfn.FLOOR.MATH((($AI103-1)*Characters!$P$8+Characters!$I$8+$AK$3)*5/2)</f>
        <v>507</v>
      </c>
      <c r="AZ103" s="39">
        <f>_xlfn.FLOOR.MATH((($AI103-1)*Characters!$N$9+Characters!$G$9+$AK$2)*10/2) + _xlfn.FLOOR.MATH((($AI103-1)*Characters!$P$9+Characters!$I$9+$AK$3)*5/2)</f>
        <v>201</v>
      </c>
      <c r="BA103" s="39">
        <f>_xlfn.FLOOR.MATH((($AI103-1)*Characters!$N$10+Characters!$G$10+$AK$2)*10/2) + _xlfn.FLOOR.MATH((($AI103-1)*Characters!$P$10+Characters!$I$10+$AK$3)*5/2)</f>
        <v>599</v>
      </c>
      <c r="BB103" s="39">
        <f>_xlfn.FLOOR.MATH((($AI103-1)*Characters!$N$11+Characters!$G$11+$AK$2)*10/2) + _xlfn.FLOOR.MATH((($AI103-1)*Characters!$P$11+Characters!$I$11+$AK$3)*5/2)</f>
        <v>227</v>
      </c>
      <c r="BC103" s="33">
        <f>_xlfn.FLOOR.MATH((($AI103-1)*Characters!$N$12+Characters!$G$12+$AK$2)*10/2) + _xlfn.FLOOR.MATH((($AI103-1)*Characters!$P$12+Characters!$I$12+$AK$3)*5/2)</f>
        <v>555</v>
      </c>
    </row>
    <row r="104" spans="1:55" ht="18" customHeight="1">
      <c r="A104" s="38">
        <v>97</v>
      </c>
      <c r="B104" s="20">
        <f t="shared" si="18"/>
        <v>25</v>
      </c>
      <c r="C104" s="20">
        <f t="shared" si="19"/>
        <v>23</v>
      </c>
      <c r="D104" s="52">
        <f t="shared" si="20"/>
        <v>46</v>
      </c>
      <c r="E104" s="52">
        <f t="shared" si="24"/>
        <v>138</v>
      </c>
      <c r="F104" s="67">
        <f t="shared" si="15"/>
        <v>145</v>
      </c>
      <c r="G104" s="52">
        <f t="shared" ref="G104:G135" si="27">D104*(F104 * $C$3) + $B$3</f>
        <v>2668.15</v>
      </c>
      <c r="H104" s="52">
        <f t="shared" si="21"/>
        <v>8004.45</v>
      </c>
      <c r="I104" s="52">
        <f t="shared" si="22"/>
        <v>5336.3</v>
      </c>
      <c r="J104" s="69">
        <f t="shared" si="25"/>
        <v>187880.30000000002</v>
      </c>
      <c r="K104" s="70">
        <f t="shared" si="23"/>
        <v>82</v>
      </c>
      <c r="L104" s="132"/>
      <c r="M104" s="38">
        <f>Characters!$F$13+((Characters!$M$13 )*(Floor!$F104-1))</f>
        <v>8790</v>
      </c>
      <c r="N104" s="39">
        <f>Characters!$F$14+((Characters!$M$14 )*(Floor!F104-1))</f>
        <v>8790</v>
      </c>
      <c r="O104" s="39">
        <f>Characters!$F$15+((Characters!$M$15 )*(Floor!$F104-1))</f>
        <v>8790</v>
      </c>
      <c r="P104" s="39">
        <f>Characters!$F$16+((Characters!$M$16 )*(Floor!$F104-1))</f>
        <v>8790</v>
      </c>
      <c r="Q104" s="39">
        <f>Characters!$F$17+((Characters!$M$17)*(Floor!$F104-1))</f>
        <v>8790</v>
      </c>
      <c r="R104" s="39">
        <f>Characters!$F$18+((Characters!$M$18 )*(Floor!$F104-1))</f>
        <v>8790</v>
      </c>
      <c r="S104" s="33">
        <f>Characters!$F$19+((Characters!$M$19 )*(Floor!$F104-1))</f>
        <v>8790</v>
      </c>
      <c r="T104" s="38">
        <f>_xlfn.FLOOR.MATH((Characters!$J$13+Characters!$Q$13*(Floor!$F104-1))*5/2)</f>
        <v>1100</v>
      </c>
      <c r="U104" s="39">
        <f>_xlfn.FLOOR.MATH((Characters!$J$14+Characters!$Q$14*(Floor!$F104-1))*5/2)</f>
        <v>1100</v>
      </c>
      <c r="V104" s="39">
        <f>_xlfn.FLOOR.MATH((Characters!$J$15+Characters!$Q$15*(Floor!$F104-1))*5/2)</f>
        <v>1100</v>
      </c>
      <c r="W104" s="39">
        <f>_xlfn.FLOOR.MATH((Characters!$J$16+Characters!$Q$16*(Floor!$F104-1))*5/2)</f>
        <v>1100</v>
      </c>
      <c r="X104" s="39">
        <f>_xlfn.FLOOR.MATH((Characters!$J$17+Characters!$Q$17*(Floor!$F104-1))*5/2)</f>
        <v>1100</v>
      </c>
      <c r="Y104" s="39">
        <f>_xlfn.FLOOR.MATH((Characters!$J$18+Characters!$Q$18*(Floor!$F104-1))*5/2)</f>
        <v>1100</v>
      </c>
      <c r="Z104" s="39">
        <f>_xlfn.FLOOR.MATH((Characters!$J$19+Characters!$Q$19*(Floor!$F104-1))*5/2)</f>
        <v>1100</v>
      </c>
      <c r="AA104" s="38">
        <f>_xlfn.FLOOR.MATH((Characters!$G$13+Characters!$N$13*(Floor!$F104-1))*10/2) + _xlfn.FLOOR.MATH((($AI104-1)*Characters!$P$13+Characters!$I$13)*5/2)</f>
        <v>1014</v>
      </c>
      <c r="AB104" s="39">
        <f>_xlfn.FLOOR.MATH((Characters!$G$14+Characters!$N$14*(Floor!$F104-1))*10/2) + _xlfn.FLOOR.MATH((($AI104-1)*Characters!$P$14+Characters!$I$14)*5/2)</f>
        <v>1014</v>
      </c>
      <c r="AC104" s="39">
        <f>_xlfn.FLOOR.MATH((Characters!$G$15+Characters!$N$15*(Floor!$F104-1))*10/2) + _xlfn.FLOOR.MATH((($AI104-1)*Characters!$P$15+Characters!$I$15)*5/2)</f>
        <v>1014</v>
      </c>
      <c r="AD104" s="39">
        <f>_xlfn.FLOOR.MATH((Characters!$G$16+Characters!$N$16*(Floor!$F104-1))*10/2) + _xlfn.FLOOR.MATH((($AI104-1)*Characters!$P$16+Characters!$I$16)*5/2)</f>
        <v>1014</v>
      </c>
      <c r="AE104" s="39">
        <f>_xlfn.FLOOR.MATH((Characters!$G$17+Characters!$N$17*(Floor!$F104-1))*10/2) + _xlfn.FLOOR.MATH((($AI104-1)*Characters!$P$17+Characters!$I$17)*5/2)</f>
        <v>1014</v>
      </c>
      <c r="AF104" s="39">
        <f>_xlfn.FLOOR.MATH((Characters!$G$18+Characters!$N$18*(Floor!$F104-1))*10/2) + _xlfn.FLOOR.MATH((($AI104-1)*Characters!$P$18+Characters!$I$18)*5/2)</f>
        <v>1014</v>
      </c>
      <c r="AG104" s="33">
        <f>_xlfn.FLOOR.MATH((Characters!$G$19+Characters!$N$19*(Floor!$F104-1))*10/2) + _xlfn.FLOOR.MATH((($AI104-1)*Characters!$P$19+Characters!$I$19)*5/2)</f>
        <v>1014</v>
      </c>
      <c r="AH104" s="67"/>
      <c r="AI104" s="38">
        <v>97</v>
      </c>
      <c r="AJ104" s="71">
        <f t="shared" si="17"/>
        <v>9409.1600000000017</v>
      </c>
      <c r="AK104" s="105">
        <f t="shared" si="26"/>
        <v>309146.76</v>
      </c>
      <c r="AL104" s="38">
        <f>_xlfn.FLOOR.MATH(($AI104-1)*Characters!$M$7+Characters!$F$7)+$AK$5</f>
        <v>7280</v>
      </c>
      <c r="AM104" s="39">
        <f>_xlfn.FLOOR.MATH(($AI104-1)*Characters!$M$8+Characters!$F$8)+$AK$5</f>
        <v>9250</v>
      </c>
      <c r="AN104" s="39">
        <f>_xlfn.FLOOR.MATH(($AI104-1)*Characters!$M$9+Characters!$F$9)+$AK$5</f>
        <v>6730</v>
      </c>
      <c r="AO104" s="39">
        <f>_xlfn.FLOOR.MATH(($AI104-1)*Characters!$M$10+Characters!$F$10)+$AK$5</f>
        <v>7720</v>
      </c>
      <c r="AP104" s="39">
        <f>_xlfn.FLOOR.MATH(($AI104-1)*Characters!$M$11+Characters!$F$11)+$AK$5</f>
        <v>6730</v>
      </c>
      <c r="AQ104" s="39">
        <f>_xlfn.FLOOR.MATH(($AI104-1)*Characters!$M$12+Characters!$F$12)+$AK$5</f>
        <v>8200</v>
      </c>
      <c r="AR104" s="38">
        <f>_xlfn.FLOOR.MATH((($AI104-1)*Characters!$Q$7+Characters!$J$7+$AK$4)*5/2)</f>
        <v>222</v>
      </c>
      <c r="AS104" s="39">
        <f>_xlfn.FLOOR.MATH((($AI104-1)*Characters!$Q$8+Characters!$J$8+$AK$4)*5/2)</f>
        <v>254</v>
      </c>
      <c r="AT104" s="39">
        <f>_xlfn.FLOOR.MATH((($AI104-1)*Characters!$Q$9+Characters!$J$9+$AK$4)*5/2)</f>
        <v>177</v>
      </c>
      <c r="AU104" s="39">
        <f>_xlfn.FLOOR.MATH((($AI104-1)*Characters!$Q$10+Characters!$J$10+$AK$4)*5/2)</f>
        <v>225</v>
      </c>
      <c r="AV104" s="39">
        <f>_xlfn.FLOOR.MATH((($AI104-1)*Characters!$Q$11+Characters!$J$11+$AK$4)*5/2)</f>
        <v>174</v>
      </c>
      <c r="AW104" s="39">
        <f>_xlfn.FLOOR.MATH((($AI104-1)*Characters!$Q$12+Characters!$J$12+$AK$4)*5/2)</f>
        <v>254</v>
      </c>
      <c r="AX104" s="38">
        <f>_xlfn.FLOOR.MATH((($AI104-1)*Characters!$N$7+Characters!$G$7+$AK$2)*10/2) + _xlfn.FLOOR.MATH((($AI104-1)*Characters!$P$7+Characters!$I$7+$AK$3)*5/2)</f>
        <v>397</v>
      </c>
      <c r="AY104" s="39">
        <f>_xlfn.FLOOR.MATH((($AI104-1)*Characters!$N$8+Characters!$G$8+$AK$2)*10/2) + _xlfn.FLOOR.MATH((($AI104-1)*Characters!$P$8+Characters!$I$8+$AK$3)*5/2)</f>
        <v>512</v>
      </c>
      <c r="AZ104" s="39">
        <f>_xlfn.FLOOR.MATH((($AI104-1)*Characters!$N$9+Characters!$G$9+$AK$2)*10/2) + _xlfn.FLOOR.MATH((($AI104-1)*Characters!$P$9+Characters!$I$9+$AK$3)*5/2)</f>
        <v>203</v>
      </c>
      <c r="BA104" s="39">
        <f>_xlfn.FLOOR.MATH((($AI104-1)*Characters!$N$10+Characters!$G$10+$AK$2)*10/2) + _xlfn.FLOOR.MATH((($AI104-1)*Characters!$P$10+Characters!$I$10+$AK$3)*5/2)</f>
        <v>605</v>
      </c>
      <c r="BB104" s="39">
        <f>_xlfn.FLOOR.MATH((($AI104-1)*Characters!$N$11+Characters!$G$11+$AK$2)*10/2) + _xlfn.FLOOR.MATH((($AI104-1)*Characters!$P$11+Characters!$I$11+$AK$3)*5/2)</f>
        <v>229</v>
      </c>
      <c r="BC104" s="33">
        <f>_xlfn.FLOOR.MATH((($AI104-1)*Characters!$N$12+Characters!$G$12+$AK$2)*10/2) + _xlfn.FLOOR.MATH((($AI104-1)*Characters!$P$12+Characters!$I$12+$AK$3)*5/2)</f>
        <v>560</v>
      </c>
    </row>
    <row r="105" spans="1:55" ht="18" customHeight="1">
      <c r="A105" s="38">
        <v>98</v>
      </c>
      <c r="B105" s="20">
        <f t="shared" si="18"/>
        <v>25</v>
      </c>
      <c r="C105" s="20">
        <f t="shared" si="19"/>
        <v>23</v>
      </c>
      <c r="D105" s="52">
        <f t="shared" si="20"/>
        <v>46</v>
      </c>
      <c r="E105" s="52">
        <f t="shared" si="24"/>
        <v>138</v>
      </c>
      <c r="F105" s="67">
        <f t="shared" si="15"/>
        <v>146</v>
      </c>
      <c r="G105" s="52">
        <f t="shared" si="27"/>
        <v>2686.55</v>
      </c>
      <c r="H105" s="52">
        <f t="shared" si="21"/>
        <v>8059.6500000000005</v>
      </c>
      <c r="I105" s="52">
        <f t="shared" si="22"/>
        <v>5373.1</v>
      </c>
      <c r="J105" s="69">
        <f t="shared" si="25"/>
        <v>193253.40000000002</v>
      </c>
      <c r="K105" s="70">
        <f t="shared" ref="K105:K136" si="28">MATCH(J105,$AK$8:$AK$107,1)</f>
        <v>82</v>
      </c>
      <c r="L105" s="132"/>
      <c r="M105" s="38">
        <f>Characters!$F$13+((Characters!$M$13 )*(Floor!$F105-1))</f>
        <v>8850</v>
      </c>
      <c r="N105" s="39">
        <f>Characters!$F$14+((Characters!$M$14 )*(Floor!F105-1))</f>
        <v>8850</v>
      </c>
      <c r="O105" s="39">
        <f>Characters!$F$15+((Characters!$M$15 )*(Floor!$F105-1))</f>
        <v>8850</v>
      </c>
      <c r="P105" s="39">
        <f>Characters!$F$16+((Characters!$M$16 )*(Floor!$F105-1))</f>
        <v>8850</v>
      </c>
      <c r="Q105" s="39">
        <f>Characters!$F$17+((Characters!$M$17)*(Floor!$F105-1))</f>
        <v>8850</v>
      </c>
      <c r="R105" s="39">
        <f>Characters!$F$18+((Characters!$M$18 )*(Floor!$F105-1))</f>
        <v>8850</v>
      </c>
      <c r="S105" s="33">
        <f>Characters!$F$19+((Characters!$M$19 )*(Floor!$F105-1))</f>
        <v>8850</v>
      </c>
      <c r="T105" s="38">
        <f>_xlfn.FLOOR.MATH((Characters!$J$13+Characters!$Q$13*(Floor!$F105-1))*5/2)</f>
        <v>1107</v>
      </c>
      <c r="U105" s="39">
        <f>_xlfn.FLOOR.MATH((Characters!$J$14+Characters!$Q$14*(Floor!$F105-1))*5/2)</f>
        <v>1107</v>
      </c>
      <c r="V105" s="39">
        <f>_xlfn.FLOOR.MATH((Characters!$J$15+Characters!$Q$15*(Floor!$F105-1))*5/2)</f>
        <v>1107</v>
      </c>
      <c r="W105" s="39">
        <f>_xlfn.FLOOR.MATH((Characters!$J$16+Characters!$Q$16*(Floor!$F105-1))*5/2)</f>
        <v>1107</v>
      </c>
      <c r="X105" s="39">
        <f>_xlfn.FLOOR.MATH((Characters!$J$17+Characters!$Q$17*(Floor!$F105-1))*5/2)</f>
        <v>1107</v>
      </c>
      <c r="Y105" s="39">
        <f>_xlfn.FLOOR.MATH((Characters!$J$18+Characters!$Q$18*(Floor!$F105-1))*5/2)</f>
        <v>1107</v>
      </c>
      <c r="Z105" s="39">
        <f>_xlfn.FLOOR.MATH((Characters!$J$19+Characters!$Q$19*(Floor!$F105-1))*5/2)</f>
        <v>1107</v>
      </c>
      <c r="AA105" s="38">
        <f>_xlfn.FLOOR.MATH((Characters!$G$13+Characters!$N$13*(Floor!$F105-1))*10/2) + _xlfn.FLOOR.MATH((($AI105-1)*Characters!$P$13+Characters!$I$13)*5/2)</f>
        <v>1021</v>
      </c>
      <c r="AB105" s="39">
        <f>_xlfn.FLOOR.MATH((Characters!$G$14+Characters!$N$14*(Floor!$F105-1))*10/2) + _xlfn.FLOOR.MATH((($AI105-1)*Characters!$P$14+Characters!$I$14)*5/2)</f>
        <v>1021</v>
      </c>
      <c r="AC105" s="39">
        <f>_xlfn.FLOOR.MATH((Characters!$G$15+Characters!$N$15*(Floor!$F105-1))*10/2) + _xlfn.FLOOR.MATH((($AI105-1)*Characters!$P$15+Characters!$I$15)*5/2)</f>
        <v>1021</v>
      </c>
      <c r="AD105" s="39">
        <f>_xlfn.FLOOR.MATH((Characters!$G$16+Characters!$N$16*(Floor!$F105-1))*10/2) + _xlfn.FLOOR.MATH((($AI105-1)*Characters!$P$16+Characters!$I$16)*5/2)</f>
        <v>1021</v>
      </c>
      <c r="AE105" s="39">
        <f>_xlfn.FLOOR.MATH((Characters!$G$17+Characters!$N$17*(Floor!$F105-1))*10/2) + _xlfn.FLOOR.MATH((($AI105-1)*Characters!$P$17+Characters!$I$17)*5/2)</f>
        <v>1021</v>
      </c>
      <c r="AF105" s="39">
        <f>_xlfn.FLOOR.MATH((Characters!$G$18+Characters!$N$18*(Floor!$F105-1))*10/2) + _xlfn.FLOOR.MATH((($AI105-1)*Characters!$P$18+Characters!$I$18)*5/2)</f>
        <v>1021</v>
      </c>
      <c r="AG105" s="33">
        <f>_xlfn.FLOOR.MATH((Characters!$G$19+Characters!$N$19*(Floor!$F105-1))*10/2) + _xlfn.FLOOR.MATH((($AI105-1)*Characters!$P$19+Characters!$I$19)*5/2)</f>
        <v>1021</v>
      </c>
      <c r="AH105" s="67"/>
      <c r="AI105" s="38">
        <v>98</v>
      </c>
      <c r="AJ105" s="71">
        <f t="shared" si="17"/>
        <v>9604.1200000000008</v>
      </c>
      <c r="AK105" s="105">
        <f t="shared" si="26"/>
        <v>318750.88</v>
      </c>
      <c r="AL105" s="38">
        <f>_xlfn.FLOOR.MATH(($AI105-1)*Characters!$M$7+Characters!$F$7)+$AK$5</f>
        <v>7310</v>
      </c>
      <c r="AM105" s="39">
        <f>_xlfn.FLOOR.MATH(($AI105-1)*Characters!$M$8+Characters!$F$8)+$AK$5</f>
        <v>9300</v>
      </c>
      <c r="AN105" s="39">
        <f>_xlfn.FLOOR.MATH(($AI105-1)*Characters!$M$9+Characters!$F$9)+$AK$5</f>
        <v>6755</v>
      </c>
      <c r="AO105" s="39">
        <f>_xlfn.FLOOR.MATH(($AI105-1)*Characters!$M$10+Characters!$F$10)+$AK$5</f>
        <v>7755</v>
      </c>
      <c r="AP105" s="39">
        <f>_xlfn.FLOOR.MATH(($AI105-1)*Characters!$M$11+Characters!$F$11)+$AK$5</f>
        <v>6755</v>
      </c>
      <c r="AQ105" s="39">
        <f>_xlfn.FLOOR.MATH(($AI105-1)*Characters!$M$12+Characters!$F$12)+$AK$5</f>
        <v>8240</v>
      </c>
      <c r="AR105" s="38">
        <f>_xlfn.FLOOR.MATH((($AI105-1)*Characters!$Q$7+Characters!$J$7+$AK$4)*5/2)</f>
        <v>223</v>
      </c>
      <c r="AS105" s="39">
        <f>_xlfn.FLOOR.MATH((($AI105-1)*Characters!$Q$8+Characters!$J$8+$AK$4)*5/2)</f>
        <v>255</v>
      </c>
      <c r="AT105" s="39">
        <f>_xlfn.FLOOR.MATH((($AI105-1)*Characters!$Q$9+Characters!$J$9+$AK$4)*5/2)</f>
        <v>177</v>
      </c>
      <c r="AU105" s="39">
        <f>_xlfn.FLOOR.MATH((($AI105-1)*Characters!$Q$10+Characters!$J$10+$AK$4)*5/2)</f>
        <v>226</v>
      </c>
      <c r="AV105" s="39">
        <f>_xlfn.FLOOR.MATH((($AI105-1)*Characters!$Q$11+Characters!$J$11+$AK$4)*5/2)</f>
        <v>175</v>
      </c>
      <c r="AW105" s="39">
        <f>_xlfn.FLOOR.MATH((($AI105-1)*Characters!$Q$12+Characters!$J$12+$AK$4)*5/2)</f>
        <v>255</v>
      </c>
      <c r="AX105" s="38">
        <f>_xlfn.FLOOR.MATH((($AI105-1)*Characters!$N$7+Characters!$G$7+$AK$2)*10/2) + _xlfn.FLOOR.MATH((($AI105-1)*Characters!$P$7+Characters!$I$7+$AK$3)*5/2)</f>
        <v>400</v>
      </c>
      <c r="AY105" s="39">
        <f>_xlfn.FLOOR.MATH((($AI105-1)*Characters!$N$8+Characters!$G$8+$AK$2)*10/2) + _xlfn.FLOOR.MATH((($AI105-1)*Characters!$P$8+Characters!$I$8+$AK$3)*5/2)</f>
        <v>516</v>
      </c>
      <c r="AZ105" s="39">
        <f>_xlfn.FLOOR.MATH((($AI105-1)*Characters!$N$9+Characters!$G$9+$AK$2)*10/2) + _xlfn.FLOOR.MATH((($AI105-1)*Characters!$P$9+Characters!$I$9+$AK$3)*5/2)</f>
        <v>204</v>
      </c>
      <c r="BA105" s="39">
        <f>_xlfn.FLOOR.MATH((($AI105-1)*Characters!$N$10+Characters!$G$10+$AK$2)*10/2) + _xlfn.FLOOR.MATH((($AI105-1)*Characters!$P$10+Characters!$I$10+$AK$3)*5/2)</f>
        <v>610</v>
      </c>
      <c r="BB105" s="39">
        <f>_xlfn.FLOOR.MATH((($AI105-1)*Characters!$N$11+Characters!$G$11+$AK$2)*10/2) + _xlfn.FLOOR.MATH((($AI105-1)*Characters!$P$11+Characters!$I$11+$AK$3)*5/2)</f>
        <v>231</v>
      </c>
      <c r="BC105" s="33">
        <f>_xlfn.FLOOR.MATH((($AI105-1)*Characters!$N$12+Characters!$G$12+$AK$2)*10/2) + _xlfn.FLOOR.MATH((($AI105-1)*Characters!$P$12+Characters!$I$12+$AK$3)*5/2)</f>
        <v>565</v>
      </c>
    </row>
    <row r="106" spans="1:55" ht="18" customHeight="1">
      <c r="A106" s="38">
        <v>99</v>
      </c>
      <c r="B106" s="20">
        <f t="shared" si="18"/>
        <v>25</v>
      </c>
      <c r="C106" s="20">
        <f t="shared" si="19"/>
        <v>23</v>
      </c>
      <c r="D106" s="52">
        <f t="shared" si="20"/>
        <v>46</v>
      </c>
      <c r="E106" s="52">
        <f t="shared" si="24"/>
        <v>138</v>
      </c>
      <c r="F106" s="67">
        <f t="shared" si="15"/>
        <v>148</v>
      </c>
      <c r="G106" s="52">
        <f t="shared" si="27"/>
        <v>2723.3500000000004</v>
      </c>
      <c r="H106" s="52">
        <f t="shared" si="21"/>
        <v>8170.0500000000011</v>
      </c>
      <c r="I106" s="52">
        <f t="shared" si="22"/>
        <v>5446.7000000000007</v>
      </c>
      <c r="J106" s="69">
        <f t="shared" si="25"/>
        <v>198700.10000000003</v>
      </c>
      <c r="K106" s="70">
        <f t="shared" si="28"/>
        <v>83</v>
      </c>
      <c r="L106" s="132"/>
      <c r="M106" s="38">
        <f>Characters!$F$13+((Characters!$M$13 )*(Floor!$F106-1))</f>
        <v>8970</v>
      </c>
      <c r="N106" s="39">
        <f>Characters!$F$14+((Characters!$M$14 )*(Floor!F106-1))</f>
        <v>8970</v>
      </c>
      <c r="O106" s="39">
        <f>Characters!$F$15+((Characters!$M$15 )*(Floor!$F106-1))</f>
        <v>8970</v>
      </c>
      <c r="P106" s="39">
        <f>Characters!$F$16+((Characters!$M$16 )*(Floor!$F106-1))</f>
        <v>8970</v>
      </c>
      <c r="Q106" s="39">
        <f>Characters!$F$17+((Characters!$M$17)*(Floor!$F106-1))</f>
        <v>8970</v>
      </c>
      <c r="R106" s="39">
        <f>Characters!$F$18+((Characters!$M$18 )*(Floor!$F106-1))</f>
        <v>8970</v>
      </c>
      <c r="S106" s="33">
        <f>Characters!$F$19+((Characters!$M$19 )*(Floor!$F106-1))</f>
        <v>8970</v>
      </c>
      <c r="T106" s="38">
        <f>_xlfn.FLOOR.MATH((Characters!$J$13+Characters!$Q$13*(Floor!$F106-1))*5/2)</f>
        <v>1122</v>
      </c>
      <c r="U106" s="39">
        <f>_xlfn.FLOOR.MATH((Characters!$J$14+Characters!$Q$14*(Floor!$F106-1))*5/2)</f>
        <v>1122</v>
      </c>
      <c r="V106" s="39">
        <f>_xlfn.FLOOR.MATH((Characters!$J$15+Characters!$Q$15*(Floor!$F106-1))*5/2)</f>
        <v>1122</v>
      </c>
      <c r="W106" s="39">
        <f>_xlfn.FLOOR.MATH((Characters!$J$16+Characters!$Q$16*(Floor!$F106-1))*5/2)</f>
        <v>1122</v>
      </c>
      <c r="X106" s="39">
        <f>_xlfn.FLOOR.MATH((Characters!$J$17+Characters!$Q$17*(Floor!$F106-1))*5/2)</f>
        <v>1122</v>
      </c>
      <c r="Y106" s="39">
        <f>_xlfn.FLOOR.MATH((Characters!$J$18+Characters!$Q$18*(Floor!$F106-1))*5/2)</f>
        <v>1122</v>
      </c>
      <c r="Z106" s="39">
        <f>_xlfn.FLOOR.MATH((Characters!$J$19+Characters!$Q$19*(Floor!$F106-1))*5/2)</f>
        <v>1122</v>
      </c>
      <c r="AA106" s="38">
        <f>_xlfn.FLOOR.MATH((Characters!$G$13+Characters!$N$13*(Floor!$F106-1))*10/2) + _xlfn.FLOOR.MATH((($AI106-1)*Characters!$P$13+Characters!$I$13)*5/2)</f>
        <v>1034</v>
      </c>
      <c r="AB106" s="39">
        <f>_xlfn.FLOOR.MATH((Characters!$G$14+Characters!$N$14*(Floor!$F106-1))*10/2) + _xlfn.FLOOR.MATH((($AI106-1)*Characters!$P$14+Characters!$I$14)*5/2)</f>
        <v>1034</v>
      </c>
      <c r="AC106" s="39">
        <f>_xlfn.FLOOR.MATH((Characters!$G$15+Characters!$N$15*(Floor!$F106-1))*10/2) + _xlfn.FLOOR.MATH((($AI106-1)*Characters!$P$15+Characters!$I$15)*5/2)</f>
        <v>1034</v>
      </c>
      <c r="AD106" s="39">
        <f>_xlfn.FLOOR.MATH((Characters!$G$16+Characters!$N$16*(Floor!$F106-1))*10/2) + _xlfn.FLOOR.MATH((($AI106-1)*Characters!$P$16+Characters!$I$16)*5/2)</f>
        <v>1034</v>
      </c>
      <c r="AE106" s="39">
        <f>_xlfn.FLOOR.MATH((Characters!$G$17+Characters!$N$17*(Floor!$F106-1))*10/2) + _xlfn.FLOOR.MATH((($AI106-1)*Characters!$P$17+Characters!$I$17)*5/2)</f>
        <v>1034</v>
      </c>
      <c r="AF106" s="39">
        <f>_xlfn.FLOOR.MATH((Characters!$G$18+Characters!$N$18*(Floor!$F106-1))*10/2) + _xlfn.FLOOR.MATH((($AI106-1)*Characters!$P$18+Characters!$I$18)*5/2)</f>
        <v>1034</v>
      </c>
      <c r="AG106" s="33">
        <f>_xlfn.FLOOR.MATH((Characters!$G$19+Characters!$N$19*(Floor!$F106-1))*10/2) + _xlfn.FLOOR.MATH((($AI106-1)*Characters!$P$19+Characters!$I$19)*5/2)</f>
        <v>1034</v>
      </c>
      <c r="AH106" s="67"/>
      <c r="AI106" s="38">
        <v>99</v>
      </c>
      <c r="AJ106" s="71">
        <f t="shared" si="17"/>
        <v>9801.0800000000017</v>
      </c>
      <c r="AK106" s="105">
        <f t="shared" si="26"/>
        <v>328551.96000000002</v>
      </c>
      <c r="AL106" s="38">
        <f>_xlfn.FLOOR.MATH(($AI106-1)*Characters!$M$7+Characters!$F$7)+$AK$5</f>
        <v>7340</v>
      </c>
      <c r="AM106" s="39">
        <f>_xlfn.FLOOR.MATH(($AI106-1)*Characters!$M$8+Characters!$F$8)+$AK$5</f>
        <v>9350</v>
      </c>
      <c r="AN106" s="39">
        <f>_xlfn.FLOOR.MATH(($AI106-1)*Characters!$M$9+Characters!$F$9)+$AK$5</f>
        <v>6780</v>
      </c>
      <c r="AO106" s="39">
        <f>_xlfn.FLOOR.MATH(($AI106-1)*Characters!$M$10+Characters!$F$10)+$AK$5</f>
        <v>7790</v>
      </c>
      <c r="AP106" s="39">
        <f>_xlfn.FLOOR.MATH(($AI106-1)*Characters!$M$11+Characters!$F$11)+$AK$5</f>
        <v>6780</v>
      </c>
      <c r="AQ106" s="39">
        <f>_xlfn.FLOOR.MATH(($AI106-1)*Characters!$M$12+Characters!$F$12)+$AK$5</f>
        <v>8280</v>
      </c>
      <c r="AR106" s="38">
        <f>_xlfn.FLOOR.MATH((($AI106-1)*Characters!$Q$7+Characters!$J$7+$AK$4)*5/2)</f>
        <v>225</v>
      </c>
      <c r="AS106" s="39">
        <f>_xlfn.FLOOR.MATH((($AI106-1)*Characters!$Q$8+Characters!$J$8+$AK$4)*5/2)</f>
        <v>257</v>
      </c>
      <c r="AT106" s="39">
        <f>_xlfn.FLOOR.MATH((($AI106-1)*Characters!$Q$9+Characters!$J$9+$AK$4)*5/2)</f>
        <v>178</v>
      </c>
      <c r="AU106" s="39">
        <f>_xlfn.FLOOR.MATH((($AI106-1)*Characters!$Q$10+Characters!$J$10+$AK$4)*5/2)</f>
        <v>227</v>
      </c>
      <c r="AV106" s="39">
        <f>_xlfn.FLOOR.MATH((($AI106-1)*Characters!$Q$11+Characters!$J$11+$AK$4)*5/2)</f>
        <v>176</v>
      </c>
      <c r="AW106" s="39">
        <f>_xlfn.FLOOR.MATH((($AI106-1)*Characters!$Q$12+Characters!$J$12+$AK$4)*5/2)</f>
        <v>257</v>
      </c>
      <c r="AX106" s="38">
        <f>_xlfn.FLOOR.MATH((($AI106-1)*Characters!$N$7+Characters!$G$7+$AK$2)*10/2) + _xlfn.FLOOR.MATH((($AI106-1)*Characters!$P$7+Characters!$I$7+$AK$3)*5/2)</f>
        <v>405</v>
      </c>
      <c r="AY106" s="39">
        <f>_xlfn.FLOOR.MATH((($AI106-1)*Characters!$N$8+Characters!$G$8+$AK$2)*10/2) + _xlfn.FLOOR.MATH((($AI106-1)*Characters!$P$8+Characters!$I$8+$AK$3)*5/2)</f>
        <v>521</v>
      </c>
      <c r="AZ106" s="39">
        <f>_xlfn.FLOOR.MATH((($AI106-1)*Characters!$N$9+Characters!$G$9+$AK$2)*10/2) + _xlfn.FLOOR.MATH((($AI106-1)*Characters!$P$9+Characters!$I$9+$AK$3)*5/2)</f>
        <v>206</v>
      </c>
      <c r="BA106" s="39">
        <f>_xlfn.FLOOR.MATH((($AI106-1)*Characters!$N$10+Characters!$G$10+$AK$2)*10/2) + _xlfn.FLOOR.MATH((($AI106-1)*Characters!$P$10+Characters!$I$10+$AK$3)*5/2)</f>
        <v>616</v>
      </c>
      <c r="BB106" s="39">
        <f>_xlfn.FLOOR.MATH((($AI106-1)*Characters!$N$11+Characters!$G$11+$AK$2)*10/2) + _xlfn.FLOOR.MATH((($AI106-1)*Characters!$P$11+Characters!$I$11+$AK$3)*5/2)</f>
        <v>233</v>
      </c>
      <c r="BC106" s="33">
        <f>_xlfn.FLOOR.MATH((($AI106-1)*Characters!$N$12+Characters!$G$12+$AK$2)*10/2) + _xlfn.FLOOR.MATH((($AI106-1)*Characters!$P$12+Characters!$I$12+$AK$3)*5/2)</f>
        <v>570</v>
      </c>
    </row>
    <row r="107" spans="1:55" ht="19" customHeight="1" thickBot="1">
      <c r="A107" s="54">
        <v>100</v>
      </c>
      <c r="B107" s="79">
        <f t="shared" si="18"/>
        <v>26</v>
      </c>
      <c r="C107" s="79">
        <f t="shared" si="19"/>
        <v>24</v>
      </c>
      <c r="D107" s="80">
        <f t="shared" si="20"/>
        <v>48</v>
      </c>
      <c r="E107" s="80">
        <f t="shared" si="24"/>
        <v>144</v>
      </c>
      <c r="F107" s="81">
        <f t="shared" si="15"/>
        <v>149</v>
      </c>
      <c r="G107" s="80">
        <f t="shared" si="27"/>
        <v>2860.9500000000003</v>
      </c>
      <c r="H107" s="80">
        <f t="shared" si="21"/>
        <v>8582.85</v>
      </c>
      <c r="I107" s="80">
        <f t="shared" si="22"/>
        <v>5721.9000000000005</v>
      </c>
      <c r="J107" s="82">
        <f t="shared" si="25"/>
        <v>204422.00000000003</v>
      </c>
      <c r="K107" s="83">
        <f t="shared" si="28"/>
        <v>84</v>
      </c>
      <c r="L107" s="132"/>
      <c r="M107" s="54">
        <f>Characters!$F$13+((Characters!$M$13 )*(Floor!$F107-1))</f>
        <v>9030</v>
      </c>
      <c r="N107" s="79">
        <f>Characters!$F$14+((Characters!$M$14 )*(Floor!F107-1))</f>
        <v>9030</v>
      </c>
      <c r="O107" s="79">
        <f>Characters!$F$15+((Characters!$M$15 )*(Floor!$F107-1))</f>
        <v>9030</v>
      </c>
      <c r="P107" s="79">
        <f>Characters!$F$16+((Characters!$M$16 )*(Floor!$F107-1))</f>
        <v>9030</v>
      </c>
      <c r="Q107" s="79">
        <f>Characters!$F$17+((Characters!$M$17)*(Floor!$F107-1))</f>
        <v>9030</v>
      </c>
      <c r="R107" s="79">
        <f>Characters!$F$18+((Characters!$M$18 )*(Floor!$F107-1))</f>
        <v>9030</v>
      </c>
      <c r="S107" s="56">
        <f>Characters!$F$19+((Characters!$M$19 )*(Floor!$F107-1))</f>
        <v>9030</v>
      </c>
      <c r="T107" s="54">
        <f>_xlfn.FLOOR.MATH((Characters!$J$13+Characters!$Q$13*(Floor!$F107-1))*5/2)</f>
        <v>1130</v>
      </c>
      <c r="U107" s="79">
        <f>_xlfn.FLOOR.MATH((Characters!$J$14+Characters!$Q$14*(Floor!$F107-1))*5/2)</f>
        <v>1130</v>
      </c>
      <c r="V107" s="79">
        <f>_xlfn.FLOOR.MATH((Characters!$J$15+Characters!$Q$15*(Floor!$F107-1))*5/2)</f>
        <v>1130</v>
      </c>
      <c r="W107" s="79">
        <f>_xlfn.FLOOR.MATH((Characters!$J$16+Characters!$Q$16*(Floor!$F107-1))*5/2)</f>
        <v>1130</v>
      </c>
      <c r="X107" s="79">
        <f>_xlfn.FLOOR.MATH((Characters!$J$17+Characters!$Q$17*(Floor!$F107-1))*5/2)</f>
        <v>1130</v>
      </c>
      <c r="Y107" s="79">
        <f>_xlfn.FLOOR.MATH((Characters!$J$18+Characters!$Q$18*(Floor!$F107-1))*5/2)</f>
        <v>1130</v>
      </c>
      <c r="Z107" s="79">
        <f>_xlfn.FLOOR.MATH((Characters!$J$19+Characters!$Q$19*(Floor!$F107-1))*5/2)</f>
        <v>1130</v>
      </c>
      <c r="AA107" s="54">
        <f>_xlfn.FLOOR.MATH((Characters!$G$13+Characters!$N$13*(Floor!$F107-1))*10/2) + _xlfn.FLOOR.MATH((($AI107-1)*Characters!$P$13+Characters!$I$13)*5/2)</f>
        <v>1041</v>
      </c>
      <c r="AB107" s="79">
        <f>_xlfn.FLOOR.MATH((Characters!$G$14+Characters!$N$14*(Floor!$F107-1))*10/2) + _xlfn.FLOOR.MATH((($AI107-1)*Characters!$P$14+Characters!$I$14)*5/2)</f>
        <v>1041</v>
      </c>
      <c r="AC107" s="79">
        <f>_xlfn.FLOOR.MATH((Characters!$G$15+Characters!$N$15*(Floor!$F107-1))*10/2) + _xlfn.FLOOR.MATH((($AI107-1)*Characters!$P$15+Characters!$I$15)*5/2)</f>
        <v>1041</v>
      </c>
      <c r="AD107" s="79">
        <f>_xlfn.FLOOR.MATH((Characters!$G$16+Characters!$N$16*(Floor!$F107-1))*10/2) + _xlfn.FLOOR.MATH((($AI107-1)*Characters!$P$16+Characters!$I$16)*5/2)</f>
        <v>1041</v>
      </c>
      <c r="AE107" s="79">
        <f>_xlfn.FLOOR.MATH((Characters!$G$17+Characters!$N$17*(Floor!$F107-1))*10/2) + _xlfn.FLOOR.MATH((($AI107-1)*Characters!$P$17+Characters!$I$17)*5/2)</f>
        <v>1041</v>
      </c>
      <c r="AF107" s="79">
        <f>_xlfn.FLOOR.MATH((Characters!$G$18+Characters!$N$18*(Floor!$F107-1))*10/2) + _xlfn.FLOOR.MATH((($AI107-1)*Characters!$P$18+Characters!$I$18)*5/2)</f>
        <v>1041</v>
      </c>
      <c r="AG107" s="56">
        <f>_xlfn.FLOOR.MATH((Characters!$G$19+Characters!$N$19*(Floor!$F107-1))*10/2) + _xlfn.FLOOR.MATH((($AI107-1)*Characters!$P$19+Characters!$I$19)*5/2)</f>
        <v>1041</v>
      </c>
      <c r="AH107" s="67"/>
      <c r="AI107" s="54">
        <v>100</v>
      </c>
      <c r="AJ107" s="84">
        <f t="shared" si="17"/>
        <v>10000.040000000001</v>
      </c>
      <c r="AK107" s="121">
        <f t="shared" si="26"/>
        <v>338552</v>
      </c>
      <c r="AL107" s="54">
        <f>_xlfn.FLOOR.MATH(($AI107-1)*Characters!$M$7+Characters!$F$7)+$AK$5</f>
        <v>7370</v>
      </c>
      <c r="AM107" s="79">
        <f>_xlfn.FLOOR.MATH(($AI107-1)*Characters!$M$8+Characters!$F$8)+$AK$5</f>
        <v>9400</v>
      </c>
      <c r="AN107" s="79">
        <f>_xlfn.FLOOR.MATH(($AI107-1)*Characters!$M$9+Characters!$F$9)+$AK$5</f>
        <v>6805</v>
      </c>
      <c r="AO107" s="79">
        <f>_xlfn.FLOOR.MATH(($AI107-1)*Characters!$M$10+Characters!$F$10)+$AK$5</f>
        <v>7825</v>
      </c>
      <c r="AP107" s="79">
        <f>_xlfn.FLOOR.MATH(($AI107-1)*Characters!$M$11+Characters!$F$11)+$AK$5</f>
        <v>6805</v>
      </c>
      <c r="AQ107" s="79">
        <f>_xlfn.FLOOR.MATH(($AI107-1)*Characters!$M$12+Characters!$F$12)+$AK$5</f>
        <v>8320</v>
      </c>
      <c r="AR107" s="54">
        <f>_xlfn.FLOOR.MATH((($AI107-1)*Characters!$Q$7+Characters!$J$7+$AK$4)*5/2)</f>
        <v>226</v>
      </c>
      <c r="AS107" s="79">
        <f>_xlfn.FLOOR.MATH((($AI107-1)*Characters!$Q$8+Characters!$J$8+$AK$4)*5/2)</f>
        <v>258</v>
      </c>
      <c r="AT107" s="79">
        <f>_xlfn.FLOOR.MATH((($AI107-1)*Characters!$Q$9+Characters!$J$9+$AK$4)*5/2)</f>
        <v>179</v>
      </c>
      <c r="AU107" s="79">
        <f>_xlfn.FLOOR.MATH((($AI107-1)*Characters!$Q$10+Characters!$J$10+$AK$4)*5/2)</f>
        <v>228</v>
      </c>
      <c r="AV107" s="79">
        <f>_xlfn.FLOOR.MATH((($AI107-1)*Characters!$Q$11+Characters!$J$11+$AK$4)*5/2)</f>
        <v>176</v>
      </c>
      <c r="AW107" s="79">
        <f>_xlfn.FLOOR.MATH((($AI107-1)*Characters!$Q$12+Characters!$J$12+$AK$4)*5/2)</f>
        <v>258</v>
      </c>
      <c r="AX107" s="54">
        <f>_xlfn.FLOOR.MATH((($AI107-1)*Characters!$N$7+Characters!$G$7+$AK$2)*10/2) + _xlfn.FLOOR.MATH((($AI107-1)*Characters!$P$7+Characters!$I$7+$AK$3)*5/2)</f>
        <v>408</v>
      </c>
      <c r="AY107" s="79">
        <f>_xlfn.FLOOR.MATH((($AI107-1)*Characters!$N$8+Characters!$G$8+$AK$2)*10/2) + _xlfn.FLOOR.MATH((($AI107-1)*Characters!$P$8+Characters!$I$8+$AK$3)*5/2)</f>
        <v>525</v>
      </c>
      <c r="AZ107" s="79">
        <f>_xlfn.FLOOR.MATH((($AI107-1)*Characters!$N$9+Characters!$G$9+$AK$2)*10/2) + _xlfn.FLOOR.MATH((($AI107-1)*Characters!$P$9+Characters!$I$9+$AK$3)*5/2)</f>
        <v>208</v>
      </c>
      <c r="BA107" s="79">
        <f>_xlfn.FLOOR.MATH((($AI107-1)*Characters!$N$10+Characters!$G$10+$AK$2)*10/2) + _xlfn.FLOOR.MATH((($AI107-1)*Characters!$P$10+Characters!$I$10+$AK$3)*5/2)</f>
        <v>621</v>
      </c>
      <c r="BB107" s="79">
        <f>_xlfn.FLOOR.MATH((($AI107-1)*Characters!$N$11+Characters!$G$11+$AK$2)*10/2) + _xlfn.FLOOR.MATH((($AI107-1)*Characters!$P$11+Characters!$I$11+$AK$3)*5/2)</f>
        <v>235</v>
      </c>
      <c r="BC107" s="56">
        <f>_xlfn.FLOOR.MATH((($AI107-1)*Characters!$N$12+Characters!$G$12+$AK$2)*10/2) + _xlfn.FLOOR.MATH((($AI107-1)*Characters!$P$12+Characters!$I$12+$AK$3)*5/2)</f>
        <v>575</v>
      </c>
    </row>
    <row r="108" spans="1:55">
      <c r="A108" s="20"/>
      <c r="L108" s="91"/>
    </row>
    <row r="109" spans="1:55">
      <c r="A109" s="20"/>
    </row>
    <row r="110" spans="1:55">
      <c r="A110" s="20"/>
    </row>
    <row r="111" spans="1:55">
      <c r="A111" s="20"/>
    </row>
    <row r="112" spans="1:55">
      <c r="A112" s="20"/>
    </row>
    <row r="113" spans="1:1">
      <c r="A113" s="20"/>
    </row>
    <row r="114" spans="1:1">
      <c r="A114" s="20"/>
    </row>
    <row r="115" spans="1:1">
      <c r="A115" s="20"/>
    </row>
    <row r="116" spans="1:1">
      <c r="A116" s="20"/>
    </row>
    <row r="117" spans="1:1">
      <c r="A117" s="20"/>
    </row>
    <row r="118" spans="1:1">
      <c r="A118" s="20"/>
    </row>
    <row r="119" spans="1:1">
      <c r="A119" s="20"/>
    </row>
    <row r="120" spans="1:1">
      <c r="A120" s="20"/>
    </row>
    <row r="121" spans="1:1">
      <c r="A121" s="20"/>
    </row>
    <row r="122" spans="1:1">
      <c r="A122" s="20"/>
    </row>
    <row r="123" spans="1:1">
      <c r="A123" s="20"/>
    </row>
    <row r="124" spans="1:1">
      <c r="A124" s="20"/>
    </row>
    <row r="125" spans="1:1">
      <c r="A125" s="20"/>
    </row>
    <row r="126" spans="1:1">
      <c r="A126" s="20"/>
    </row>
    <row r="127" spans="1:1">
      <c r="A127" s="20"/>
    </row>
    <row r="128" spans="1:1">
      <c r="A128" s="20"/>
    </row>
    <row r="129" spans="1:1">
      <c r="A129" s="20"/>
    </row>
    <row r="130" spans="1:1">
      <c r="A130" s="20"/>
    </row>
    <row r="131" spans="1:1">
      <c r="A131" s="20"/>
    </row>
    <row r="132" spans="1:1">
      <c r="A132" s="20"/>
    </row>
    <row r="133" spans="1:1">
      <c r="A133" s="20"/>
    </row>
    <row r="134" spans="1:1">
      <c r="A134" s="20"/>
    </row>
    <row r="135" spans="1:1">
      <c r="A135" s="20"/>
    </row>
    <row r="136" spans="1:1">
      <c r="A136" s="20"/>
    </row>
    <row r="137" spans="1:1">
      <c r="A137" s="20"/>
    </row>
    <row r="138" spans="1:1">
      <c r="A138" s="20"/>
    </row>
    <row r="139" spans="1:1">
      <c r="A139" s="20"/>
    </row>
    <row r="140" spans="1:1">
      <c r="A140" s="20"/>
    </row>
    <row r="141" spans="1:1">
      <c r="A141" s="20"/>
    </row>
    <row r="142" spans="1:1">
      <c r="A142" s="20"/>
    </row>
    <row r="143" spans="1:1">
      <c r="A143" s="20"/>
    </row>
    <row r="144" spans="1:1">
      <c r="A144" s="20"/>
    </row>
    <row r="145" spans="1:1">
      <c r="A145" s="20"/>
    </row>
    <row r="146" spans="1:1">
      <c r="A146" s="20"/>
    </row>
    <row r="147" spans="1:1">
      <c r="A147" s="20"/>
    </row>
    <row r="148" spans="1:1">
      <c r="A148" s="20"/>
    </row>
    <row r="149" spans="1:1">
      <c r="A149" s="20"/>
    </row>
    <row r="150" spans="1:1">
      <c r="A150" s="20"/>
    </row>
    <row r="151" spans="1:1">
      <c r="A151" s="20"/>
    </row>
    <row r="152" spans="1:1">
      <c r="A152" s="20"/>
    </row>
    <row r="153" spans="1:1">
      <c r="A153" s="20"/>
    </row>
    <row r="154" spans="1:1">
      <c r="A154" s="20"/>
    </row>
  </sheetData>
  <mergeCells count="12">
    <mergeCell ref="L6:L107"/>
    <mergeCell ref="AM1:BC4"/>
    <mergeCell ref="AH28:AH37"/>
    <mergeCell ref="AH12:AH15"/>
    <mergeCell ref="AH16:AH27"/>
    <mergeCell ref="AI6:AK6"/>
    <mergeCell ref="M6:S6"/>
    <mergeCell ref="T6:Z6"/>
    <mergeCell ref="AA6:AG6"/>
    <mergeCell ref="AX6:BC6"/>
    <mergeCell ref="AR6:AW6"/>
    <mergeCell ref="AL6:AQ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Items</vt:lpstr>
      <vt:lpstr>Characters</vt:lpstr>
      <vt:lpstr>Floor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2019-07-11T00:19:59Z</dcterms:modified>
</cp:coreProperties>
</file>